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ice Data" sheetId="1" state="visible" r:id="rId3"/>
    <sheet name="Portfolio Analysis" sheetId="2" state="visible" r:id="rId4"/>
  </sheets>
  <definedNames>
    <definedName function="false" hidden="true" localSheetId="1" name="solver_adj" vbProcedure="false">sheet_2!$i$33</definedName>
    <definedName function="false" hidden="true" localSheetId="1" name="solver_cvg" vbProcedure="false">0.0001</definedName>
    <definedName function="false" hidden="true" localSheetId="1" name="solver_drv" vbProcedure="false">1</definedName>
    <definedName function="false" hidden="true" localSheetId="1" name="solver_eng" vbProcedure="false">1</definedName>
    <definedName function="false" hidden="true" localSheetId="1" name="solver_est" vbProcedure="false">1</definedName>
    <definedName function="false" hidden="true" localSheetId="1" name="solver_itr" vbProcedure="false">2147483647</definedName>
    <definedName function="false" hidden="true" localSheetId="1" name="solver_lhs1" vbProcedure="false">sheet_2!$i$33</definedName>
    <definedName function="false" hidden="true" localSheetId="1" name="solver_lhs2" vbProcedure="false">sheet_2!$i$33</definedName>
    <definedName function="false" hidden="true" localSheetId="1" name="solver_mip" vbProcedure="false">2147483647</definedName>
    <definedName function="false" hidden="true" localSheetId="1" name="solver_mni" vbProcedure="false">30</definedName>
    <definedName function="false" hidden="true" localSheetId="1" name="solver_mrt" vbProcedure="false">0.075</definedName>
    <definedName function="false" hidden="true" localSheetId="1" name="solver_msl" vbProcedure="false">2</definedName>
    <definedName function="false" hidden="true" localSheetId="1" name="solver_neg" vbProcedure="false">1</definedName>
    <definedName function="false" hidden="true" localSheetId="1" name="solver_nod" vbProcedure="false">2147483647</definedName>
    <definedName function="false" hidden="true" localSheetId="1" name="solver_num" vbProcedure="false">2</definedName>
    <definedName function="false" hidden="true" localSheetId="1" name="solver_nwt" vbProcedure="false">1</definedName>
    <definedName function="false" hidden="true" localSheetId="1" name="solver_opt" vbProcedure="false">sheet_2!$n$33</definedName>
    <definedName function="false" hidden="true" localSheetId="1" name="solver_pre" vbProcedure="false">0.000001</definedName>
    <definedName function="false" hidden="true" localSheetId="1" name="solver_rbv" vbProcedure="false">1</definedName>
    <definedName function="false" hidden="true" localSheetId="1" name="solver_rel1" vbProcedure="false">1</definedName>
    <definedName function="false" hidden="true" localSheetId="1" name="solver_rel2" vbProcedure="false">3</definedName>
    <definedName function="false" hidden="true" localSheetId="1" name="solver_rhs1" vbProcedure="false">1</definedName>
    <definedName function="false" hidden="true" localSheetId="1" name="solver_rhs2" vbProcedure="false">0</definedName>
    <definedName function="false" hidden="true" localSheetId="1" name="solver_rlx" vbProcedure="false">2</definedName>
    <definedName function="false" hidden="true" localSheetId="1" name="solver_rsd" vbProcedure="false">0</definedName>
    <definedName function="false" hidden="true" localSheetId="1" name="solver_scl" vbProcedure="false">1</definedName>
    <definedName function="false" hidden="true" localSheetId="1" name="solver_sho" vbProcedure="false">2</definedName>
    <definedName function="false" hidden="true" localSheetId="1" name="solver_ssz" vbProcedure="false">100</definedName>
    <definedName function="false" hidden="true" localSheetId="1" name="solver_tim" vbProcedure="false">2147483647</definedName>
    <definedName function="false" hidden="true" localSheetId="1" name="solver_tol" vbProcedure="false">0.01</definedName>
    <definedName function="false" hidden="true" localSheetId="1" name="solver_typ" vbProcedure="false">1</definedName>
    <definedName function="false" hidden="true" localSheetId="1" name="solver_val" vbProcedure="false">0</definedName>
    <definedName function="false" hidden="true" localSheetId="1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<sst xmlns="http://schemas.openxmlformats.org/spreadsheetml/2006/main" count="185" uniqueCount="43">
  <si>
    <t xml:space="preserve">Date</t>
  </si>
  <si>
    <t xml:space="preserve">Open</t>
  </si>
  <si>
    <t xml:space="preserve">High</t>
  </si>
  <si>
    <t xml:space="preserve">Low</t>
  </si>
  <si>
    <t xml:space="preserve">Close </t>
  </si>
  <si>
    <t xml:space="preserve">Adj Close </t>
  </si>
  <si>
    <t xml:space="preserve">Volume</t>
  </si>
  <si>
    <t xml:space="preserve">-</t>
  </si>
  <si>
    <t xml:space="preserve">0.25 Dividend </t>
  </si>
  <si>
    <t xml:space="preserve">7.2 Dividend </t>
  </si>
  <si>
    <t xml:space="preserve">0.01 Dividend </t>
  </si>
  <si>
    <t xml:space="preserve">7 Dividend </t>
  </si>
  <si>
    <t xml:space="preserve">6.6 Dividend </t>
  </si>
  <si>
    <t xml:space="preserve">10:1 Stock Splits </t>
  </si>
  <si>
    <t xml:space="preserve">0.004 Dividend </t>
  </si>
  <si>
    <t xml:space="preserve">6 Dividend </t>
  </si>
  <si>
    <t xml:space="preserve">4.8 Dividend </t>
  </si>
  <si>
    <t xml:space="preserve">4 Dividend </t>
  </si>
  <si>
    <t xml:space="preserve">3.85 Dividend </t>
  </si>
  <si>
    <t xml:space="preserve">4:1 Stock Splits </t>
  </si>
  <si>
    <t xml:space="preserve">L'Oreal Adj Close EUR</t>
  </si>
  <si>
    <t xml:space="preserve">EUR/USD Rate</t>
  </si>
  <si>
    <t xml:space="preserve">L'Oreal Adj Close USD</t>
  </si>
  <si>
    <t xml:space="preserve">NVIDIA's Adj Close  USD</t>
  </si>
  <si>
    <t xml:space="preserve">L'Oreal Monthly Return</t>
  </si>
  <si>
    <t xml:space="preserve">NVIDIA Monthly Return</t>
  </si>
  <si>
    <t xml:space="preserve">Metric</t>
  </si>
  <si>
    <t xml:space="preserve">L'Oreal</t>
  </si>
  <si>
    <t xml:space="preserve">NVDIA</t>
  </si>
  <si>
    <t xml:space="preserve">Average Monthly Return</t>
  </si>
  <si>
    <t xml:space="preserve">Monthly Volatility</t>
  </si>
  <si>
    <t xml:space="preserve">Correlation</t>
  </si>
  <si>
    <t xml:space="preserve">Monthly risk-free rate </t>
  </si>
  <si>
    <t xml:space="preserve">L'Oreal Weight</t>
  </si>
  <si>
    <t xml:space="preserve">NVIDIA Weight</t>
  </si>
  <si>
    <t xml:space="preserve">Expected Return</t>
  </si>
  <si>
    <t xml:space="preserve">Variance</t>
  </si>
  <si>
    <t xml:space="preserve">Volatility</t>
  </si>
  <si>
    <t xml:space="preserve">Sharpe Ratio</t>
  </si>
  <si>
    <t xml:space="preserve">Goal</t>
  </si>
  <si>
    <t xml:space="preserve">Maximum Return</t>
  </si>
  <si>
    <t xml:space="preserve">Minimum Varience </t>
  </si>
  <si>
    <t xml:space="preserve">Sharpe Ratio 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</si>
</sst>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\-mmm\-yy"/>
    <numFmt numFmtId="166" formatCode="#,##0"/>
    <numFmt numFmtId="167" formatCode="m/d/yyyy"/>
    <numFmt numFmtId="168" formatCode="0.00"/>
    <numFmt numFmtId="169" formatCode="0.00%"/>
    <numFmt numFmtId="170" formatCode="0.0000"/>
    <numFmt numFmtId="171" formatCode="0%"/>
    <numFmt numFmtId="172" formatCode="0.000000"/>
    <numFmt numFmtId="173" formatCode="0.00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Times New Roman"/>
      <family val="1"/>
      <charset val="1"/>
    </font>
    <font>
      <sz val="13"/>
      <color rgb="FFE3E3E3"/>
      <name val="Times New Roman"/>
      <family val="1"/>
      <charset val="1"/>
    </font>
    <font>
      <b val="true"/>
      <sz val="13"/>
      <color rgb="FFE3E3E3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14181C"/>
        <bgColor rgb="FF000000"/>
      </patternFill>
    </fill>
    <fill>
      <patternFill patternType="solid">
        <fgColor rgb="FF000000"/>
        <bgColor rgb="FF14181C"/>
      </patternFill>
    </fill>
    <fill>
      <patternFill patternType="solid">
        <fgColor rgb="FF363F44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4181C"/>
      <rgbColor rgb="FF333300"/>
      <rgbColor rgb="FF993300"/>
      <rgbColor rgb="FF993366"/>
      <rgbColor rgb="FF333399"/>
      <rgbColor rgb="FF363F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J24" activeCellId="0" sqref="J24"/>
    </sheetView>
  </sheetViews>
  <sheetFormatPr defaultColWidth="9.06640625" defaultRowHeight="16.5" zeroHeight="false" outlineLevelRow="0" outlineLevelCol="0"/>
  <cols>
    <col collapsed="false" customWidth="true" hidden="false" outlineLevel="0" max="1" min="1" style="1" width="12.73"/>
    <col collapsed="false" customWidth="true" hidden="false" outlineLevel="0" max="4" min="2" style="1" width="9.33"/>
    <col collapsed="false" customWidth="true" hidden="false" outlineLevel="0" max="5" min="5" style="1" width="12.93"/>
    <col collapsed="false" customWidth="true" hidden="false" outlineLevel="0" max="6" min="6" style="1" width="21.86"/>
    <col collapsed="false" customWidth="true" hidden="false" outlineLevel="0" max="7" min="7" style="1" width="18.2"/>
    <col collapsed="false" customWidth="false" hidden="false" outlineLevel="0" max="11" min="8" style="1" width="9.06"/>
    <col collapsed="false" customWidth="true" hidden="false" outlineLevel="0" max="12" min="12" style="1" width="12.87"/>
    <col collapsed="false" customWidth="true" hidden="false" outlineLevel="0" max="13" min="13" style="1" width="9.27"/>
    <col collapsed="false" customWidth="true" hidden="false" outlineLevel="0" max="14" min="14" style="1" width="10.46"/>
    <col collapsed="false" customWidth="true" hidden="false" outlineLevel="0" max="15" min="15" style="1" width="11.53"/>
    <col collapsed="false" customWidth="true" hidden="false" outlineLevel="0" max="16" min="16" style="1" width="25.86"/>
    <col collapsed="false" customWidth="true" hidden="false" outlineLevel="0" max="17" min="17" style="1" width="19.47"/>
    <col collapsed="false" customWidth="true" hidden="false" outlineLevel="0" max="18" min="18" style="1" width="23.86"/>
    <col collapsed="false" customWidth="false" hidden="false" outlineLevel="0" max="23" min="19" style="1" width="9.06"/>
    <col collapsed="false" customWidth="true" hidden="false" outlineLevel="0" max="24" min="24" style="1" width="18.4"/>
    <col collapsed="false" customWidth="true" hidden="false" outlineLevel="0" max="25" min="25" style="1" width="16.8"/>
    <col collapsed="false" customWidth="true" hidden="false" outlineLevel="0" max="26" min="26" style="1" width="19.4"/>
    <col collapsed="false" customWidth="true" hidden="false" outlineLevel="0" max="28" min="27" style="1" width="17.06"/>
    <col collapsed="false" customWidth="true" hidden="false" outlineLevel="0" max="29" min="29" style="1" width="16.87"/>
    <col collapsed="false" customWidth="true" hidden="false" outlineLevel="0" max="30" min="30" style="1" width="15.33"/>
    <col collapsed="false" customWidth="false" hidden="false" outlineLevel="0" max="16384" min="31" style="1" width="9.06"/>
  </cols>
  <sheetData>
    <row r="1" customFormat="false" ht="16.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L1" s="2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  <c r="X1" s="2" t="s">
        <v>0</v>
      </c>
      <c r="Y1" s="3" t="s">
        <v>1</v>
      </c>
      <c r="Z1" s="3" t="s">
        <v>2</v>
      </c>
      <c r="AA1" s="3" t="s">
        <v>3</v>
      </c>
      <c r="AB1" s="3" t="s">
        <v>4</v>
      </c>
      <c r="AC1" s="3" t="s">
        <v>5</v>
      </c>
      <c r="AD1" s="3" t="s">
        <v>6</v>
      </c>
    </row>
    <row r="2" customFormat="false" ht="16.5" hidden="false" customHeight="false" outlineLevel="0" collapsed="false">
      <c r="A2" s="4" t="n">
        <v>46235</v>
      </c>
      <c r="B2" s="5" t="n">
        <v>384.35</v>
      </c>
      <c r="C2" s="5" t="n">
        <v>397.25</v>
      </c>
      <c r="D2" s="5" t="n">
        <v>367.5</v>
      </c>
      <c r="E2" s="5" t="n">
        <v>384.7</v>
      </c>
      <c r="F2" s="5" t="n">
        <v>384.7</v>
      </c>
      <c r="G2" s="6" t="n">
        <v>5919747</v>
      </c>
      <c r="L2" s="4"/>
      <c r="M2" s="5"/>
      <c r="N2" s="5"/>
      <c r="O2" s="5"/>
      <c r="P2" s="5"/>
      <c r="Q2" s="5"/>
      <c r="R2" s="6"/>
      <c r="X2" s="4" t="n">
        <v>46235</v>
      </c>
      <c r="Y2" s="5" t="n">
        <v>1.1538</v>
      </c>
      <c r="Z2" s="5" t="n">
        <v>1.1712</v>
      </c>
      <c r="AA2" s="5" t="n">
        <v>1.1503</v>
      </c>
      <c r="AB2" s="5" t="n">
        <v>1.1589</v>
      </c>
      <c r="AC2" s="5" t="n">
        <v>1.1589</v>
      </c>
      <c r="AD2" s="5" t="s">
        <v>7</v>
      </c>
    </row>
    <row r="3" customFormat="false" ht="16.5" hidden="false" customHeight="false" outlineLevel="0" collapsed="false">
      <c r="A3" s="7" t="n">
        <v>46204</v>
      </c>
      <c r="B3" s="3" t="n">
        <v>383.35</v>
      </c>
      <c r="C3" s="3" t="n">
        <v>401</v>
      </c>
      <c r="D3" s="3" t="n">
        <v>366.1</v>
      </c>
      <c r="E3" s="3" t="n">
        <v>386.95</v>
      </c>
      <c r="F3" s="3" t="n">
        <v>386.95</v>
      </c>
      <c r="G3" s="8" t="n">
        <v>7561757</v>
      </c>
      <c r="L3" s="7" t="n">
        <v>46235</v>
      </c>
      <c r="M3" s="3" t="n">
        <v>197.69</v>
      </c>
      <c r="N3" s="3" t="n">
        <v>230.47</v>
      </c>
      <c r="O3" s="3" t="n">
        <v>196.85</v>
      </c>
      <c r="P3" s="3" t="n">
        <v>220.78</v>
      </c>
      <c r="Q3" s="3" t="n">
        <v>220.53</v>
      </c>
      <c r="R3" s="8" t="n">
        <v>2682633400</v>
      </c>
      <c r="X3" s="7" t="n">
        <v>46204</v>
      </c>
      <c r="Y3" s="3" t="n">
        <v>1.1413</v>
      </c>
      <c r="Z3" s="3" t="n">
        <v>1.1535</v>
      </c>
      <c r="AA3" s="3" t="n">
        <v>1.1354</v>
      </c>
      <c r="AB3" s="3" t="n">
        <v>1.1524</v>
      </c>
      <c r="AC3" s="3" t="n">
        <v>1.1524</v>
      </c>
      <c r="AD3" s="3" t="s">
        <v>7</v>
      </c>
    </row>
    <row r="4" customFormat="false" ht="16.5" hidden="false" customHeight="false" outlineLevel="0" collapsed="false">
      <c r="A4" s="4" t="n">
        <v>46174</v>
      </c>
      <c r="B4" s="5" t="n">
        <v>381.95</v>
      </c>
      <c r="C4" s="5" t="n">
        <v>397.05</v>
      </c>
      <c r="D4" s="5" t="n">
        <v>369.35</v>
      </c>
      <c r="E4" s="5" t="n">
        <v>383.65</v>
      </c>
      <c r="F4" s="5" t="n">
        <v>383.65</v>
      </c>
      <c r="G4" s="6" t="n">
        <v>10206822</v>
      </c>
      <c r="L4" s="4" t="n">
        <v>46204</v>
      </c>
      <c r="M4" s="5" t="n">
        <v>196.2</v>
      </c>
      <c r="N4" s="5" t="n">
        <v>214.39</v>
      </c>
      <c r="O4" s="5" t="n">
        <v>190.01</v>
      </c>
      <c r="P4" s="5" t="n">
        <v>200.75</v>
      </c>
      <c r="Q4" s="5" t="n">
        <v>200.53</v>
      </c>
      <c r="R4" s="6" t="n">
        <v>2852595400</v>
      </c>
      <c r="X4" s="4" t="n">
        <v>46174</v>
      </c>
      <c r="Y4" s="5" t="n">
        <v>1.1648</v>
      </c>
      <c r="Z4" s="5" t="n">
        <v>1.1667</v>
      </c>
      <c r="AA4" s="5" t="n">
        <v>1.1325</v>
      </c>
      <c r="AB4" s="5" t="n">
        <v>1.1422</v>
      </c>
      <c r="AC4" s="5" t="n">
        <v>1.1422</v>
      </c>
      <c r="AD4" s="5" t="s">
        <v>7</v>
      </c>
    </row>
    <row r="5" customFormat="false" ht="16.5" hidden="false" customHeight="false" outlineLevel="0" collapsed="false">
      <c r="A5" s="7" t="n">
        <v>46143</v>
      </c>
      <c r="B5" s="3" t="n">
        <v>364.65</v>
      </c>
      <c r="C5" s="3" t="n">
        <v>394.5</v>
      </c>
      <c r="D5" s="3" t="n">
        <v>350.5</v>
      </c>
      <c r="E5" s="3" t="n">
        <v>382.55</v>
      </c>
      <c r="F5" s="3" t="n">
        <v>382.55</v>
      </c>
      <c r="G5" s="8" t="n">
        <v>8917728</v>
      </c>
      <c r="L5" s="7" t="n">
        <v>46177</v>
      </c>
      <c r="M5" s="9" t="s">
        <v>8</v>
      </c>
      <c r="N5" s="9"/>
      <c r="O5" s="9"/>
      <c r="P5" s="9"/>
      <c r="Q5" s="9"/>
      <c r="R5" s="9"/>
      <c r="X5" s="7" t="n">
        <v>46143</v>
      </c>
      <c r="Y5" s="3" t="n">
        <v>1.173</v>
      </c>
      <c r="Z5" s="3" t="n">
        <v>1.1797</v>
      </c>
      <c r="AA5" s="3" t="n">
        <v>1.1577</v>
      </c>
      <c r="AB5" s="3" t="n">
        <v>1.166</v>
      </c>
      <c r="AC5" s="3" t="n">
        <v>1.166</v>
      </c>
      <c r="AD5" s="3" t="s">
        <v>7</v>
      </c>
    </row>
    <row r="6" customFormat="false" ht="16.5" hidden="false" customHeight="false" outlineLevel="0" collapsed="false">
      <c r="A6" s="4" t="n">
        <v>46141</v>
      </c>
      <c r="B6" s="10" t="s">
        <v>9</v>
      </c>
      <c r="C6" s="10"/>
      <c r="D6" s="10"/>
      <c r="E6" s="10"/>
      <c r="F6" s="10"/>
      <c r="G6" s="10"/>
      <c r="L6" s="4" t="n">
        <v>46174</v>
      </c>
      <c r="M6" s="5" t="n">
        <v>215.73</v>
      </c>
      <c r="N6" s="5" t="n">
        <v>232.28</v>
      </c>
      <c r="O6" s="5" t="n">
        <v>189.8</v>
      </c>
      <c r="P6" s="5" t="n">
        <v>200.09</v>
      </c>
      <c r="Q6" s="5" t="n">
        <v>199.87</v>
      </c>
      <c r="R6" s="6" t="n">
        <v>3424306300</v>
      </c>
      <c r="X6" s="4" t="n">
        <v>46113</v>
      </c>
      <c r="Y6" s="5" t="n">
        <v>1.1571</v>
      </c>
      <c r="Z6" s="5" t="n">
        <v>1.1851</v>
      </c>
      <c r="AA6" s="5" t="n">
        <v>1.1507</v>
      </c>
      <c r="AB6" s="5" t="n">
        <v>1.1685</v>
      </c>
      <c r="AC6" s="5" t="n">
        <v>1.1685</v>
      </c>
      <c r="AD6" s="5" t="s">
        <v>7</v>
      </c>
    </row>
    <row r="7" customFormat="false" ht="16.5" hidden="false" customHeight="false" outlineLevel="0" collapsed="false">
      <c r="A7" s="7" t="n">
        <v>46113</v>
      </c>
      <c r="B7" s="3" t="n">
        <v>355.1</v>
      </c>
      <c r="C7" s="3" t="n">
        <v>380.8</v>
      </c>
      <c r="D7" s="3" t="n">
        <v>343.65</v>
      </c>
      <c r="E7" s="3" t="n">
        <v>366.05</v>
      </c>
      <c r="F7" s="3" t="n">
        <v>366.05</v>
      </c>
      <c r="G7" s="8" t="n">
        <v>9941433</v>
      </c>
      <c r="L7" s="7" t="n">
        <v>46143</v>
      </c>
      <c r="M7" s="3" t="n">
        <v>201.28</v>
      </c>
      <c r="N7" s="3" t="n">
        <v>236.54</v>
      </c>
      <c r="O7" s="3" t="n">
        <v>194.74</v>
      </c>
      <c r="P7" s="3" t="n">
        <v>211.14</v>
      </c>
      <c r="Q7" s="3" t="n">
        <v>210.66</v>
      </c>
      <c r="R7" s="8" t="n">
        <v>3324840700</v>
      </c>
      <c r="X7" s="7" t="n">
        <v>46082</v>
      </c>
      <c r="Y7" s="3" t="n">
        <v>1.1819</v>
      </c>
      <c r="Z7" s="3" t="n">
        <v>1.1819</v>
      </c>
      <c r="AA7" s="3" t="n">
        <v>1.1416</v>
      </c>
      <c r="AB7" s="3" t="n">
        <v>1.146</v>
      </c>
      <c r="AC7" s="3" t="n">
        <v>1.146</v>
      </c>
      <c r="AD7" s="3" t="s">
        <v>7</v>
      </c>
    </row>
    <row r="8" customFormat="false" ht="16.5" hidden="false" customHeight="false" outlineLevel="0" collapsed="false">
      <c r="A8" s="4" t="n">
        <v>46082</v>
      </c>
      <c r="B8" s="5" t="n">
        <v>388.1</v>
      </c>
      <c r="C8" s="5" t="n">
        <v>389.7</v>
      </c>
      <c r="D8" s="5" t="n">
        <v>338.85</v>
      </c>
      <c r="E8" s="5" t="n">
        <v>349.35</v>
      </c>
      <c r="F8" s="5" t="n">
        <v>342.62</v>
      </c>
      <c r="G8" s="6" t="n">
        <v>11076868</v>
      </c>
      <c r="L8" s="4" t="n">
        <v>46113</v>
      </c>
      <c r="M8" s="5" t="n">
        <v>176</v>
      </c>
      <c r="N8" s="5" t="n">
        <v>216.83</v>
      </c>
      <c r="O8" s="5" t="n">
        <v>171.37</v>
      </c>
      <c r="P8" s="5" t="n">
        <v>199.57</v>
      </c>
      <c r="Q8" s="5" t="n">
        <v>199.11</v>
      </c>
      <c r="R8" s="6" t="n">
        <v>3129548700</v>
      </c>
      <c r="X8" s="4" t="n">
        <v>46054</v>
      </c>
      <c r="Y8" s="5" t="n">
        <v>1.1855</v>
      </c>
      <c r="Z8" s="5" t="n">
        <v>1.1928</v>
      </c>
      <c r="AA8" s="5" t="n">
        <v>1.1743</v>
      </c>
      <c r="AB8" s="5" t="n">
        <v>1.1803</v>
      </c>
      <c r="AC8" s="5" t="n">
        <v>1.1803</v>
      </c>
      <c r="AD8" s="5" t="s">
        <v>7</v>
      </c>
    </row>
    <row r="9" customFormat="false" ht="16.5" hidden="false" customHeight="false" outlineLevel="0" collapsed="false">
      <c r="A9" s="7" t="n">
        <v>46054</v>
      </c>
      <c r="B9" s="3" t="n">
        <v>389.75</v>
      </c>
      <c r="C9" s="3" t="n">
        <v>405.8</v>
      </c>
      <c r="D9" s="3" t="n">
        <v>364</v>
      </c>
      <c r="E9" s="3" t="n">
        <v>397.4</v>
      </c>
      <c r="F9" s="3" t="n">
        <v>389.74</v>
      </c>
      <c r="G9" s="8" t="n">
        <v>6921357</v>
      </c>
      <c r="L9" s="7" t="n">
        <v>46092</v>
      </c>
      <c r="M9" s="9" t="s">
        <v>10</v>
      </c>
      <c r="N9" s="9"/>
      <c r="O9" s="9"/>
      <c r="P9" s="9"/>
      <c r="Q9" s="9"/>
      <c r="R9" s="9"/>
      <c r="X9" s="7" t="n">
        <v>46023</v>
      </c>
      <c r="Y9" s="3" t="n">
        <v>1.1751</v>
      </c>
      <c r="Z9" s="3" t="n">
        <v>1.2024</v>
      </c>
      <c r="AA9" s="3" t="n">
        <v>1.1585</v>
      </c>
      <c r="AB9" s="3" t="n">
        <v>1.1855</v>
      </c>
      <c r="AC9" s="3" t="n">
        <v>1.1855</v>
      </c>
      <c r="AD9" s="3" t="s">
        <v>7</v>
      </c>
    </row>
    <row r="10" customFormat="false" ht="16.5" hidden="false" customHeight="false" outlineLevel="0" collapsed="false">
      <c r="A10" s="4" t="n">
        <v>46023</v>
      </c>
      <c r="B10" s="5" t="n">
        <v>365.95</v>
      </c>
      <c r="C10" s="5" t="n">
        <v>396.9</v>
      </c>
      <c r="D10" s="5" t="n">
        <v>355.65</v>
      </c>
      <c r="E10" s="5" t="n">
        <v>387</v>
      </c>
      <c r="F10" s="5" t="n">
        <v>379.54</v>
      </c>
      <c r="G10" s="6" t="n">
        <v>6537388</v>
      </c>
      <c r="L10" s="4" t="n">
        <v>46082</v>
      </c>
      <c r="M10" s="5" t="n">
        <v>175.01</v>
      </c>
      <c r="N10" s="5" t="n">
        <v>188.88</v>
      </c>
      <c r="O10" s="5" t="n">
        <v>164.27</v>
      </c>
      <c r="P10" s="5" t="n">
        <v>174.4</v>
      </c>
      <c r="Q10" s="5" t="n">
        <v>174</v>
      </c>
      <c r="R10" s="6" t="n">
        <v>4027150800</v>
      </c>
      <c r="X10" s="4" t="n">
        <v>45992</v>
      </c>
      <c r="Y10" s="5" t="n">
        <v>1.1602</v>
      </c>
      <c r="Z10" s="5" t="n">
        <v>1.1809</v>
      </c>
      <c r="AA10" s="5" t="n">
        <v>1.159</v>
      </c>
      <c r="AB10" s="5" t="n">
        <v>1.1747</v>
      </c>
      <c r="AC10" s="5" t="n">
        <v>1.1747</v>
      </c>
      <c r="AD10" s="5" t="s">
        <v>7</v>
      </c>
    </row>
    <row r="11" customFormat="false" ht="16.5" hidden="false" customHeight="false" outlineLevel="0" collapsed="false">
      <c r="A11" s="7" t="n">
        <v>45992</v>
      </c>
      <c r="B11" s="3" t="n">
        <v>373.55</v>
      </c>
      <c r="C11" s="3" t="n">
        <v>381.65</v>
      </c>
      <c r="D11" s="3" t="n">
        <v>360.8</v>
      </c>
      <c r="E11" s="3" t="n">
        <v>366.6</v>
      </c>
      <c r="F11" s="3" t="n">
        <v>359.54</v>
      </c>
      <c r="G11" s="8" t="n">
        <v>6068941</v>
      </c>
      <c r="L11" s="7" t="n">
        <v>46054</v>
      </c>
      <c r="M11" s="3" t="n">
        <v>187.2</v>
      </c>
      <c r="N11" s="3" t="n">
        <v>197.63</v>
      </c>
      <c r="O11" s="3" t="n">
        <v>171.03</v>
      </c>
      <c r="P11" s="3" t="n">
        <v>177.19</v>
      </c>
      <c r="Q11" s="3" t="n">
        <v>176.78</v>
      </c>
      <c r="R11" s="8" t="n">
        <v>3745445000</v>
      </c>
      <c r="X11" s="7" t="n">
        <v>45962</v>
      </c>
      <c r="Y11" s="3" t="n">
        <v>1.1601</v>
      </c>
      <c r="Z11" s="3" t="n">
        <v>1.1654</v>
      </c>
      <c r="AA11" s="3" t="n">
        <v>1.147</v>
      </c>
      <c r="AB11" s="3" t="n">
        <v>1.1597</v>
      </c>
      <c r="AC11" s="3" t="n">
        <v>1.1597</v>
      </c>
      <c r="AD11" s="3" t="s">
        <v>7</v>
      </c>
    </row>
    <row r="12" customFormat="false" ht="16.5" hidden="false" customHeight="false" outlineLevel="0" collapsed="false">
      <c r="A12" s="4" t="n">
        <v>45962</v>
      </c>
      <c r="B12" s="5" t="n">
        <v>363.1</v>
      </c>
      <c r="C12" s="5" t="n">
        <v>377.25</v>
      </c>
      <c r="D12" s="5" t="n">
        <v>349.05</v>
      </c>
      <c r="E12" s="5" t="n">
        <v>375.6</v>
      </c>
      <c r="F12" s="5" t="n">
        <v>368.36</v>
      </c>
      <c r="G12" s="6" t="n">
        <v>5941387</v>
      </c>
      <c r="L12" s="4" t="n">
        <v>46023</v>
      </c>
      <c r="M12" s="5" t="n">
        <v>189.84</v>
      </c>
      <c r="N12" s="5" t="n">
        <v>194.49</v>
      </c>
      <c r="O12" s="5" t="n">
        <v>177.61</v>
      </c>
      <c r="P12" s="5" t="n">
        <v>191.13</v>
      </c>
      <c r="Q12" s="5" t="n">
        <v>190.68</v>
      </c>
      <c r="R12" s="6" t="n">
        <v>3292228600</v>
      </c>
      <c r="X12" s="4" t="n">
        <v>45931</v>
      </c>
      <c r="Y12" s="5" t="n">
        <v>1.1736</v>
      </c>
      <c r="Z12" s="5" t="n">
        <v>1.1779</v>
      </c>
      <c r="AA12" s="5" t="n">
        <v>1.1524</v>
      </c>
      <c r="AB12" s="5" t="n">
        <v>1.1572</v>
      </c>
      <c r="AC12" s="5" t="n">
        <v>1.1572</v>
      </c>
      <c r="AD12" s="5" t="s">
        <v>7</v>
      </c>
    </row>
    <row r="13" customFormat="false" ht="16.5" hidden="false" customHeight="false" outlineLevel="0" collapsed="false">
      <c r="A13" s="7" t="n">
        <v>45931</v>
      </c>
      <c r="B13" s="3" t="n">
        <v>367.8</v>
      </c>
      <c r="C13" s="3" t="n">
        <v>398</v>
      </c>
      <c r="D13" s="3" t="n">
        <v>360.55</v>
      </c>
      <c r="E13" s="3" t="n">
        <v>362.65</v>
      </c>
      <c r="F13" s="3" t="n">
        <v>355.66</v>
      </c>
      <c r="G13" s="8" t="n">
        <v>7278137</v>
      </c>
      <c r="L13" s="7" t="n">
        <v>45995</v>
      </c>
      <c r="M13" s="9" t="s">
        <v>10</v>
      </c>
      <c r="N13" s="9"/>
      <c r="O13" s="9"/>
      <c r="P13" s="9"/>
      <c r="Q13" s="9"/>
      <c r="R13" s="9"/>
      <c r="X13" s="7" t="n">
        <v>45901</v>
      </c>
      <c r="Y13" s="3" t="n">
        <v>1.1692</v>
      </c>
      <c r="Z13" s="3" t="n">
        <v>1.1873</v>
      </c>
      <c r="AA13" s="3" t="n">
        <v>1.161</v>
      </c>
      <c r="AB13" s="3" t="n">
        <v>1.1731</v>
      </c>
      <c r="AC13" s="3" t="n">
        <v>1.1731</v>
      </c>
      <c r="AD13" s="3" t="s">
        <v>7</v>
      </c>
    </row>
    <row r="14" customFormat="false" ht="16.5" hidden="false" customHeight="false" outlineLevel="0" collapsed="false">
      <c r="A14" s="4" t="n">
        <v>45901</v>
      </c>
      <c r="B14" s="5" t="n">
        <v>399.5</v>
      </c>
      <c r="C14" s="5" t="n">
        <v>407.85</v>
      </c>
      <c r="D14" s="5" t="n">
        <v>360.25</v>
      </c>
      <c r="E14" s="5" t="n">
        <v>368.5</v>
      </c>
      <c r="F14" s="5" t="n">
        <v>361.4</v>
      </c>
      <c r="G14" s="6" t="n">
        <v>7992831</v>
      </c>
      <c r="L14" s="4" t="n">
        <v>45992</v>
      </c>
      <c r="M14" s="5" t="n">
        <v>174.76</v>
      </c>
      <c r="N14" s="5" t="n">
        <v>192.69</v>
      </c>
      <c r="O14" s="5" t="n">
        <v>170.31</v>
      </c>
      <c r="P14" s="5" t="n">
        <v>186.5</v>
      </c>
      <c r="Q14" s="5" t="n">
        <v>186.06</v>
      </c>
      <c r="R14" s="6" t="n">
        <v>3629693700</v>
      </c>
      <c r="X14" s="4" t="n">
        <v>45870</v>
      </c>
      <c r="Y14" s="5" t="n">
        <v>1.1424</v>
      </c>
      <c r="Z14" s="5" t="n">
        <v>1.1731</v>
      </c>
      <c r="AA14" s="5" t="n">
        <v>1.1395</v>
      </c>
      <c r="AB14" s="5" t="n">
        <v>1.1686</v>
      </c>
      <c r="AC14" s="5" t="n">
        <v>1.1686</v>
      </c>
      <c r="AD14" s="5" t="s">
        <v>7</v>
      </c>
    </row>
    <row r="15" customFormat="false" ht="16.5" hidden="false" customHeight="false" outlineLevel="0" collapsed="false">
      <c r="A15" s="7" t="n">
        <v>45870</v>
      </c>
      <c r="B15" s="3" t="n">
        <v>387.3</v>
      </c>
      <c r="C15" s="3" t="n">
        <v>408.35</v>
      </c>
      <c r="D15" s="3" t="n">
        <v>369.15</v>
      </c>
      <c r="E15" s="3" t="n">
        <v>397.9</v>
      </c>
      <c r="F15" s="3" t="n">
        <v>390.23</v>
      </c>
      <c r="G15" s="8" t="n">
        <v>4892388</v>
      </c>
      <c r="L15" s="7" t="n">
        <v>45962</v>
      </c>
      <c r="M15" s="3" t="n">
        <v>208.08</v>
      </c>
      <c r="N15" s="3" t="n">
        <v>211.34</v>
      </c>
      <c r="O15" s="3" t="n">
        <v>169.55</v>
      </c>
      <c r="P15" s="3" t="n">
        <v>177</v>
      </c>
      <c r="Q15" s="3" t="n">
        <v>176.58</v>
      </c>
      <c r="R15" s="8" t="n">
        <v>4160148300</v>
      </c>
      <c r="X15" s="7" t="n">
        <v>45839</v>
      </c>
      <c r="Y15" s="3" t="n">
        <v>1.1787</v>
      </c>
      <c r="Z15" s="3" t="n">
        <v>1.183</v>
      </c>
      <c r="AA15" s="3" t="n">
        <v>1.1407</v>
      </c>
      <c r="AB15" s="3" t="n">
        <v>1.1429</v>
      </c>
      <c r="AC15" s="3" t="n">
        <v>1.1429</v>
      </c>
      <c r="AD15" s="3" t="s">
        <v>7</v>
      </c>
    </row>
    <row r="16" customFormat="false" ht="16.5" hidden="false" customHeight="false" outlineLevel="0" collapsed="false">
      <c r="A16" s="4" t="n">
        <v>45839</v>
      </c>
      <c r="B16" s="5" t="n">
        <v>363.95</v>
      </c>
      <c r="C16" s="5" t="n">
        <v>399</v>
      </c>
      <c r="D16" s="5" t="n">
        <v>360.4</v>
      </c>
      <c r="E16" s="5" t="n">
        <v>389.35</v>
      </c>
      <c r="F16" s="5" t="n">
        <v>381.85</v>
      </c>
      <c r="G16" s="6" t="n">
        <v>6308286</v>
      </c>
      <c r="L16" s="4" t="n">
        <v>45931</v>
      </c>
      <c r="M16" s="5" t="n">
        <v>185.24</v>
      </c>
      <c r="N16" s="5" t="n">
        <v>212.19</v>
      </c>
      <c r="O16" s="5" t="n">
        <v>176.76</v>
      </c>
      <c r="P16" s="5" t="n">
        <v>202.49</v>
      </c>
      <c r="Q16" s="5" t="n">
        <v>202.01</v>
      </c>
      <c r="R16" s="6" t="n">
        <v>4031017400</v>
      </c>
      <c r="X16" s="4" t="n">
        <v>45809</v>
      </c>
      <c r="Y16" s="5" t="n">
        <v>1.1351</v>
      </c>
      <c r="Z16" s="5" t="n">
        <v>1.1772</v>
      </c>
      <c r="AA16" s="5" t="n">
        <v>1.1351</v>
      </c>
      <c r="AB16" s="5" t="n">
        <v>1.1727</v>
      </c>
      <c r="AC16" s="5" t="n">
        <v>1.1727</v>
      </c>
      <c r="AD16" s="5" t="s">
        <v>7</v>
      </c>
    </row>
    <row r="17" customFormat="false" ht="16.5" hidden="false" customHeight="false" outlineLevel="0" collapsed="false">
      <c r="A17" s="7" t="n">
        <v>45809</v>
      </c>
      <c r="B17" s="3" t="n">
        <v>368.45</v>
      </c>
      <c r="C17" s="3" t="n">
        <v>388.4</v>
      </c>
      <c r="D17" s="3" t="n">
        <v>348.35</v>
      </c>
      <c r="E17" s="3" t="n">
        <v>363.1</v>
      </c>
      <c r="F17" s="3" t="n">
        <v>356.1</v>
      </c>
      <c r="G17" s="8" t="n">
        <v>7318701</v>
      </c>
      <c r="L17" s="7" t="n">
        <v>45911</v>
      </c>
      <c r="M17" s="9" t="s">
        <v>10</v>
      </c>
      <c r="N17" s="9"/>
      <c r="O17" s="9"/>
      <c r="P17" s="9"/>
      <c r="Q17" s="9"/>
      <c r="R17" s="9"/>
      <c r="X17" s="7" t="n">
        <v>45778</v>
      </c>
      <c r="Y17" s="3" t="n">
        <v>1.1325</v>
      </c>
      <c r="Z17" s="3" t="n">
        <v>1.1419</v>
      </c>
      <c r="AA17" s="3" t="n">
        <v>1.1075</v>
      </c>
      <c r="AB17" s="3" t="n">
        <v>1.1351</v>
      </c>
      <c r="AC17" s="3" t="n">
        <v>1.1351</v>
      </c>
      <c r="AD17" s="3" t="s">
        <v>7</v>
      </c>
    </row>
    <row r="18" customFormat="false" ht="16.5" hidden="false" customHeight="false" outlineLevel="0" collapsed="false">
      <c r="A18" s="4" t="n">
        <v>45782</v>
      </c>
      <c r="B18" s="10" t="s">
        <v>11</v>
      </c>
      <c r="C18" s="10"/>
      <c r="D18" s="10"/>
      <c r="E18" s="10"/>
      <c r="F18" s="10"/>
      <c r="G18" s="10"/>
      <c r="L18" s="4" t="n">
        <v>45901</v>
      </c>
      <c r="M18" s="5" t="n">
        <v>170</v>
      </c>
      <c r="N18" s="5" t="n">
        <v>187.35</v>
      </c>
      <c r="O18" s="5" t="n">
        <v>164.07</v>
      </c>
      <c r="P18" s="5" t="n">
        <v>186.58</v>
      </c>
      <c r="Q18" s="5" t="n">
        <v>186.13</v>
      </c>
      <c r="R18" s="6" t="n">
        <v>3890495300</v>
      </c>
      <c r="X18" s="4" t="n">
        <v>45748</v>
      </c>
      <c r="Y18" s="5" t="n">
        <v>1.0819</v>
      </c>
      <c r="Z18" s="5" t="n">
        <v>1.1547</v>
      </c>
      <c r="AA18" s="5" t="n">
        <v>1.078</v>
      </c>
      <c r="AB18" s="5" t="n">
        <v>1.1389</v>
      </c>
      <c r="AC18" s="5" t="n">
        <v>1.1389</v>
      </c>
      <c r="AD18" s="5" t="s">
        <v>7</v>
      </c>
    </row>
    <row r="19" customFormat="false" ht="16.5" hidden="false" customHeight="false" outlineLevel="0" collapsed="false">
      <c r="A19" s="7" t="n">
        <v>45778</v>
      </c>
      <c r="B19" s="3" t="n">
        <v>390.85</v>
      </c>
      <c r="C19" s="3" t="n">
        <v>394.67</v>
      </c>
      <c r="D19" s="3" t="n">
        <v>364.85</v>
      </c>
      <c r="E19" s="3" t="n">
        <v>372.4</v>
      </c>
      <c r="F19" s="3" t="n">
        <v>365.23</v>
      </c>
      <c r="G19" s="8" t="n">
        <v>7629107</v>
      </c>
      <c r="L19" s="7" t="n">
        <v>45870</v>
      </c>
      <c r="M19" s="3" t="n">
        <v>174.09</v>
      </c>
      <c r="N19" s="3" t="n">
        <v>184.48</v>
      </c>
      <c r="O19" s="3" t="n">
        <v>168.8</v>
      </c>
      <c r="P19" s="3" t="n">
        <v>174.18</v>
      </c>
      <c r="Q19" s="3" t="n">
        <v>173.75</v>
      </c>
      <c r="R19" s="8" t="n">
        <v>3608891200</v>
      </c>
      <c r="X19" s="7" t="n">
        <v>45717</v>
      </c>
      <c r="Y19" s="3" t="n">
        <v>1.0381</v>
      </c>
      <c r="Z19" s="3" t="n">
        <v>1.0954</v>
      </c>
      <c r="AA19" s="3" t="n">
        <v>1.0381</v>
      </c>
      <c r="AB19" s="3" t="n">
        <v>1.0824</v>
      </c>
      <c r="AC19" s="3" t="n">
        <v>1.0824</v>
      </c>
      <c r="AD19" s="3" t="s">
        <v>7</v>
      </c>
    </row>
    <row r="20" customFormat="false" ht="16.5" hidden="false" customHeight="false" outlineLevel="0" collapsed="false">
      <c r="A20" s="4" t="n">
        <v>45748</v>
      </c>
      <c r="B20" s="5" t="n">
        <v>346.95</v>
      </c>
      <c r="C20" s="5" t="n">
        <v>389.8</v>
      </c>
      <c r="D20" s="5" t="n">
        <v>326.65</v>
      </c>
      <c r="E20" s="5" t="n">
        <v>387</v>
      </c>
      <c r="F20" s="5" t="n">
        <v>372.79</v>
      </c>
      <c r="G20" s="6" t="n">
        <v>12424842</v>
      </c>
      <c r="L20" s="4" t="n">
        <v>45839</v>
      </c>
      <c r="M20" s="5" t="n">
        <v>156.29</v>
      </c>
      <c r="N20" s="5" t="n">
        <v>183.3</v>
      </c>
      <c r="O20" s="5" t="n">
        <v>151.49</v>
      </c>
      <c r="P20" s="5" t="n">
        <v>177.87</v>
      </c>
      <c r="Q20" s="5" t="n">
        <v>177.43</v>
      </c>
      <c r="R20" s="6" t="n">
        <v>3596804400</v>
      </c>
      <c r="X20" s="4" t="n">
        <v>45689</v>
      </c>
      <c r="Y20" s="5" t="n">
        <v>1.0364</v>
      </c>
      <c r="Z20" s="5" t="n">
        <v>1.0529</v>
      </c>
      <c r="AA20" s="5" t="n">
        <v>1.0213</v>
      </c>
      <c r="AB20" s="5" t="n">
        <v>1.0395</v>
      </c>
      <c r="AC20" s="5" t="n">
        <v>1.0395</v>
      </c>
      <c r="AD20" s="5" t="s">
        <v>7</v>
      </c>
    </row>
    <row r="21" customFormat="false" ht="16.5" hidden="false" customHeight="false" outlineLevel="0" collapsed="false">
      <c r="A21" s="7" t="n">
        <v>45717</v>
      </c>
      <c r="B21" s="3" t="n">
        <v>351.05</v>
      </c>
      <c r="C21" s="3" t="n">
        <v>370.8</v>
      </c>
      <c r="D21" s="3" t="n">
        <v>337.7</v>
      </c>
      <c r="E21" s="3" t="n">
        <v>342.85</v>
      </c>
      <c r="F21" s="3" t="n">
        <v>330.26</v>
      </c>
      <c r="G21" s="8" t="n">
        <v>10734047</v>
      </c>
      <c r="L21" s="7" t="n">
        <v>45819</v>
      </c>
      <c r="M21" s="9" t="s">
        <v>10</v>
      </c>
      <c r="N21" s="9"/>
      <c r="O21" s="9"/>
      <c r="P21" s="9"/>
      <c r="Q21" s="9"/>
      <c r="R21" s="9"/>
      <c r="X21" s="7" t="n">
        <v>45658</v>
      </c>
      <c r="Y21" s="3" t="n">
        <v>1.0352</v>
      </c>
      <c r="Z21" s="3" t="n">
        <v>1.0534</v>
      </c>
      <c r="AA21" s="3" t="n">
        <v>1.0184</v>
      </c>
      <c r="AB21" s="3" t="n">
        <v>1.0397</v>
      </c>
      <c r="AC21" s="3" t="n">
        <v>1.0397</v>
      </c>
      <c r="AD21" s="3" t="s">
        <v>7</v>
      </c>
    </row>
    <row r="22" customFormat="false" ht="16.5" hidden="false" customHeight="false" outlineLevel="0" collapsed="false">
      <c r="A22" s="4" t="n">
        <v>45689</v>
      </c>
      <c r="B22" s="5" t="n">
        <v>349.65</v>
      </c>
      <c r="C22" s="5" t="n">
        <v>355.15</v>
      </c>
      <c r="D22" s="5" t="n">
        <v>332.05</v>
      </c>
      <c r="E22" s="5" t="n">
        <v>353</v>
      </c>
      <c r="F22" s="5" t="n">
        <v>340.04</v>
      </c>
      <c r="G22" s="6" t="n">
        <v>9440096</v>
      </c>
      <c r="L22" s="4" t="n">
        <v>45809</v>
      </c>
      <c r="M22" s="5" t="n">
        <v>135.49</v>
      </c>
      <c r="N22" s="5" t="n">
        <v>158.71</v>
      </c>
      <c r="O22" s="5" t="n">
        <v>135.4</v>
      </c>
      <c r="P22" s="5" t="n">
        <v>157.99</v>
      </c>
      <c r="Q22" s="5" t="n">
        <v>157.6</v>
      </c>
      <c r="R22" s="6" t="n">
        <v>3821296800</v>
      </c>
      <c r="X22" s="4" t="n">
        <v>45627</v>
      </c>
      <c r="Y22" s="5" t="n">
        <v>1.0581</v>
      </c>
      <c r="Z22" s="5" t="n">
        <v>1.0626</v>
      </c>
      <c r="AA22" s="5" t="n">
        <v>1.0344</v>
      </c>
      <c r="AB22" s="5" t="n">
        <v>1.0406</v>
      </c>
      <c r="AC22" s="5" t="n">
        <v>1.0406</v>
      </c>
      <c r="AD22" s="5" t="s">
        <v>7</v>
      </c>
    </row>
    <row r="23" customFormat="false" ht="16.5" hidden="false" customHeight="false" outlineLevel="0" collapsed="false">
      <c r="A23" s="7" t="n">
        <v>45658</v>
      </c>
      <c r="B23" s="3" t="n">
        <v>341.85</v>
      </c>
      <c r="C23" s="3" t="n">
        <v>368.7</v>
      </c>
      <c r="D23" s="3" t="n">
        <v>323.7</v>
      </c>
      <c r="E23" s="3" t="n">
        <v>358.5</v>
      </c>
      <c r="F23" s="3" t="n">
        <v>345.34</v>
      </c>
      <c r="G23" s="8" t="n">
        <v>9345763</v>
      </c>
      <c r="L23" s="7" t="n">
        <v>45778</v>
      </c>
      <c r="M23" s="3" t="n">
        <v>113.08</v>
      </c>
      <c r="N23" s="3" t="n">
        <v>143.49</v>
      </c>
      <c r="O23" s="3" t="n">
        <v>110.82</v>
      </c>
      <c r="P23" s="3" t="n">
        <v>135.13</v>
      </c>
      <c r="Q23" s="3" t="n">
        <v>134.79</v>
      </c>
      <c r="R23" s="8" t="n">
        <v>4756803800</v>
      </c>
      <c r="X23" s="7" t="n">
        <v>45597</v>
      </c>
      <c r="Y23" s="3" t="n">
        <v>1.0886</v>
      </c>
      <c r="Z23" s="3" t="n">
        <v>1.0933</v>
      </c>
      <c r="AA23" s="3" t="n">
        <v>1.034</v>
      </c>
      <c r="AB23" s="3" t="n">
        <v>1.0581</v>
      </c>
      <c r="AC23" s="3" t="n">
        <v>1.0581</v>
      </c>
      <c r="AD23" s="3" t="s">
        <v>7</v>
      </c>
    </row>
    <row r="24" customFormat="false" ht="16.5" hidden="false" customHeight="false" outlineLevel="0" collapsed="false">
      <c r="A24" s="4" t="n">
        <v>45627</v>
      </c>
      <c r="B24" s="5" t="n">
        <v>324.35</v>
      </c>
      <c r="C24" s="5" t="n">
        <v>352.65</v>
      </c>
      <c r="D24" s="5" t="n">
        <v>322.8</v>
      </c>
      <c r="E24" s="5" t="n">
        <v>341.85</v>
      </c>
      <c r="F24" s="5" t="n">
        <v>329.3</v>
      </c>
      <c r="G24" s="6" t="n">
        <v>8685718</v>
      </c>
      <c r="L24" s="4" t="n">
        <v>45748</v>
      </c>
      <c r="M24" s="5" t="n">
        <v>108.52</v>
      </c>
      <c r="N24" s="5" t="n">
        <v>115.1</v>
      </c>
      <c r="O24" s="5" t="n">
        <v>86.62</v>
      </c>
      <c r="P24" s="5" t="n">
        <v>108.92</v>
      </c>
      <c r="Q24" s="5" t="n">
        <v>108.65</v>
      </c>
      <c r="R24" s="6" t="n">
        <v>6811006400</v>
      </c>
      <c r="X24" s="4" t="n">
        <v>45566</v>
      </c>
      <c r="Y24" s="5" t="n">
        <v>1.1137</v>
      </c>
      <c r="Z24" s="5" t="n">
        <v>1.1146</v>
      </c>
      <c r="AA24" s="5" t="n">
        <v>1.0763</v>
      </c>
      <c r="AB24" s="5" t="n">
        <v>1.0859</v>
      </c>
      <c r="AC24" s="5" t="n">
        <v>1.0859</v>
      </c>
      <c r="AD24" s="5" t="s">
        <v>7</v>
      </c>
    </row>
    <row r="25" customFormat="false" ht="16.5" hidden="false" customHeight="false" outlineLevel="0" collapsed="false">
      <c r="A25" s="7" t="n">
        <v>45597</v>
      </c>
      <c r="B25" s="3" t="n">
        <v>342.15</v>
      </c>
      <c r="C25" s="3" t="n">
        <v>353.45</v>
      </c>
      <c r="D25" s="3" t="n">
        <v>316.3</v>
      </c>
      <c r="E25" s="3" t="n">
        <v>328.65</v>
      </c>
      <c r="F25" s="3" t="n">
        <v>316.58</v>
      </c>
      <c r="G25" s="8" t="n">
        <v>8734153</v>
      </c>
      <c r="L25" s="7" t="n">
        <v>45728</v>
      </c>
      <c r="M25" s="9" t="s">
        <v>10</v>
      </c>
      <c r="N25" s="9"/>
      <c r="O25" s="9"/>
      <c r="P25" s="9"/>
      <c r="Q25" s="9"/>
      <c r="R25" s="9"/>
      <c r="X25" s="7" t="n">
        <v>45536</v>
      </c>
      <c r="Y25" s="3" t="n">
        <v>1.1062</v>
      </c>
      <c r="Z25" s="3" t="n">
        <v>1.1212</v>
      </c>
      <c r="AA25" s="3" t="n">
        <v>1.1003</v>
      </c>
      <c r="AB25" s="3" t="n">
        <v>1.117</v>
      </c>
      <c r="AC25" s="3" t="n">
        <v>1.117</v>
      </c>
      <c r="AD25" s="3" t="s">
        <v>7</v>
      </c>
    </row>
    <row r="26" customFormat="false" ht="16.5" hidden="false" customHeight="false" outlineLevel="0" collapsed="false">
      <c r="A26" s="4" t="n">
        <v>45566</v>
      </c>
      <c r="B26" s="5" t="n">
        <v>399.85</v>
      </c>
      <c r="C26" s="5" t="n">
        <v>400.5</v>
      </c>
      <c r="D26" s="5" t="n">
        <v>337.15</v>
      </c>
      <c r="E26" s="5" t="n">
        <v>344.25</v>
      </c>
      <c r="F26" s="5" t="n">
        <v>331.61</v>
      </c>
      <c r="G26" s="6" t="n">
        <v>9032229</v>
      </c>
      <c r="L26" s="4" t="n">
        <v>45717</v>
      </c>
      <c r="M26" s="5" t="n">
        <v>123.51</v>
      </c>
      <c r="N26" s="5" t="n">
        <v>123.7</v>
      </c>
      <c r="O26" s="5" t="n">
        <v>103.65</v>
      </c>
      <c r="P26" s="5" t="n">
        <v>108.38</v>
      </c>
      <c r="Q26" s="5" t="n">
        <v>108.11</v>
      </c>
      <c r="R26" s="6" t="n">
        <v>6177950300</v>
      </c>
      <c r="X26" s="4" t="n">
        <v>45505</v>
      </c>
      <c r="Y26" s="5" t="n">
        <v>1.0824</v>
      </c>
      <c r="Z26" s="5" t="n">
        <v>1.121</v>
      </c>
      <c r="AA26" s="5" t="n">
        <v>1.0778</v>
      </c>
      <c r="AB26" s="5" t="n">
        <v>1.1062</v>
      </c>
      <c r="AC26" s="5" t="n">
        <v>1.1062</v>
      </c>
      <c r="AD26" s="5" t="s">
        <v>7</v>
      </c>
    </row>
    <row r="27" customFormat="false" ht="16.5" hidden="false" customHeight="false" outlineLevel="0" collapsed="false">
      <c r="A27" s="7" t="n">
        <v>45536</v>
      </c>
      <c r="B27" s="3" t="n">
        <v>396.2</v>
      </c>
      <c r="C27" s="3" t="n">
        <v>413.2</v>
      </c>
      <c r="D27" s="3" t="n">
        <v>364.55</v>
      </c>
      <c r="E27" s="3" t="n">
        <v>402.05</v>
      </c>
      <c r="F27" s="3" t="n">
        <v>387.29</v>
      </c>
      <c r="G27" s="8" t="n">
        <v>9043102</v>
      </c>
      <c r="L27" s="7" t="n">
        <v>45689</v>
      </c>
      <c r="M27" s="3" t="n">
        <v>114.75</v>
      </c>
      <c r="N27" s="3" t="n">
        <v>143.44</v>
      </c>
      <c r="O27" s="3" t="n">
        <v>113.01</v>
      </c>
      <c r="P27" s="3" t="n">
        <v>124.92</v>
      </c>
      <c r="Q27" s="3" t="n">
        <v>124.59</v>
      </c>
      <c r="R27" s="8" t="n">
        <v>4755230400</v>
      </c>
      <c r="X27" s="7" t="n">
        <v>45474</v>
      </c>
      <c r="Y27" s="3" t="n">
        <v>1.0735</v>
      </c>
      <c r="Z27" s="3" t="n">
        <v>1.0947</v>
      </c>
      <c r="AA27" s="3" t="n">
        <v>1.0711</v>
      </c>
      <c r="AB27" s="3" t="n">
        <v>1.0816</v>
      </c>
      <c r="AC27" s="3" t="n">
        <v>1.0816</v>
      </c>
      <c r="AD27" s="3" t="s">
        <v>7</v>
      </c>
    </row>
    <row r="28" customFormat="false" ht="16.5" hidden="false" customHeight="false" outlineLevel="0" collapsed="false">
      <c r="A28" s="4" t="n">
        <v>45505</v>
      </c>
      <c r="B28" s="5" t="n">
        <v>394.25</v>
      </c>
      <c r="C28" s="5" t="n">
        <v>400.65</v>
      </c>
      <c r="D28" s="5" t="n">
        <v>374</v>
      </c>
      <c r="E28" s="5" t="n">
        <v>396.6</v>
      </c>
      <c r="F28" s="5" t="n">
        <v>382.04</v>
      </c>
      <c r="G28" s="6" t="n">
        <v>7391506</v>
      </c>
      <c r="L28" s="4" t="n">
        <v>45658</v>
      </c>
      <c r="M28" s="5" t="n">
        <v>136</v>
      </c>
      <c r="N28" s="5" t="n">
        <v>153.13</v>
      </c>
      <c r="O28" s="5" t="n">
        <v>116.25</v>
      </c>
      <c r="P28" s="5" t="n">
        <v>120.07</v>
      </c>
      <c r="Q28" s="5" t="n">
        <v>119.76</v>
      </c>
      <c r="R28" s="6" t="n">
        <v>5948400800</v>
      </c>
      <c r="X28" s="4" t="n">
        <v>45444</v>
      </c>
      <c r="Y28" s="5" t="n">
        <v>1.0858</v>
      </c>
      <c r="Z28" s="5" t="n">
        <v>1.0918</v>
      </c>
      <c r="AA28" s="5" t="n">
        <v>1.0668</v>
      </c>
      <c r="AB28" s="5" t="n">
        <v>1.0722</v>
      </c>
      <c r="AC28" s="5" t="n">
        <v>1.0722</v>
      </c>
      <c r="AD28" s="5" t="s">
        <v>7</v>
      </c>
    </row>
    <row r="29" customFormat="false" ht="16.5" hidden="false" customHeight="false" outlineLevel="0" collapsed="false">
      <c r="A29" s="7" t="n">
        <v>45474</v>
      </c>
      <c r="B29" s="3" t="n">
        <v>414.4</v>
      </c>
      <c r="C29" s="3" t="n">
        <v>416.95</v>
      </c>
      <c r="D29" s="3" t="n">
        <v>387.1</v>
      </c>
      <c r="E29" s="3" t="n">
        <v>400.65</v>
      </c>
      <c r="F29" s="3" t="n">
        <v>385.94</v>
      </c>
      <c r="G29" s="8" t="n">
        <v>7117521</v>
      </c>
      <c r="L29" s="7" t="n">
        <v>45631</v>
      </c>
      <c r="M29" s="9" t="s">
        <v>10</v>
      </c>
      <c r="N29" s="9"/>
      <c r="O29" s="9"/>
      <c r="P29" s="9"/>
      <c r="Q29" s="9"/>
      <c r="R29" s="9"/>
      <c r="X29" s="7" t="n">
        <v>45413</v>
      </c>
      <c r="Y29" s="3" t="n">
        <v>1.0667</v>
      </c>
      <c r="Z29" s="3" t="n">
        <v>1.0897</v>
      </c>
      <c r="AA29" s="3" t="n">
        <v>1.065</v>
      </c>
      <c r="AB29" s="3" t="n">
        <v>1.0835</v>
      </c>
      <c r="AC29" s="3" t="n">
        <v>1.0835</v>
      </c>
      <c r="AD29" s="3" t="s">
        <v>7</v>
      </c>
    </row>
    <row r="30" customFormat="false" ht="16.5" hidden="false" customHeight="false" outlineLevel="0" collapsed="false">
      <c r="A30" s="4" t="n">
        <v>45444</v>
      </c>
      <c r="B30" s="5" t="n">
        <v>452.65</v>
      </c>
      <c r="C30" s="5" t="n">
        <v>461.85</v>
      </c>
      <c r="D30" s="5" t="n">
        <v>407.05</v>
      </c>
      <c r="E30" s="5" t="n">
        <v>410.05</v>
      </c>
      <c r="F30" s="5" t="n">
        <v>394.99</v>
      </c>
      <c r="G30" s="6" t="n">
        <v>5947219</v>
      </c>
      <c r="L30" s="4" t="n">
        <v>45627</v>
      </c>
      <c r="M30" s="5" t="n">
        <v>138.83</v>
      </c>
      <c r="N30" s="5" t="n">
        <v>146.54</v>
      </c>
      <c r="O30" s="5" t="n">
        <v>126.86</v>
      </c>
      <c r="P30" s="5" t="n">
        <v>134.29</v>
      </c>
      <c r="Q30" s="5" t="n">
        <v>133.94</v>
      </c>
      <c r="R30" s="6" t="n">
        <v>4085855200</v>
      </c>
      <c r="X30" s="4" t="n">
        <v>45383</v>
      </c>
      <c r="Y30" s="5" t="n">
        <v>1.0793</v>
      </c>
      <c r="Z30" s="5" t="n">
        <v>1.0889</v>
      </c>
      <c r="AA30" s="5" t="n">
        <v>1.0604</v>
      </c>
      <c r="AB30" s="5" t="n">
        <v>1.0716</v>
      </c>
      <c r="AC30" s="5" t="n">
        <v>1.0716</v>
      </c>
      <c r="AD30" s="5" t="s">
        <v>7</v>
      </c>
    </row>
    <row r="31" customFormat="false" ht="16.5" hidden="false" customHeight="false" outlineLevel="0" collapsed="false">
      <c r="A31" s="7" t="n">
        <v>45413</v>
      </c>
      <c r="B31" s="3" t="n">
        <v>436</v>
      </c>
      <c r="C31" s="3" t="n">
        <v>458.4</v>
      </c>
      <c r="D31" s="3" t="n">
        <v>432.9</v>
      </c>
      <c r="E31" s="3" t="n">
        <v>452.1</v>
      </c>
      <c r="F31" s="3" t="n">
        <v>435.5</v>
      </c>
      <c r="G31" s="8" t="n">
        <v>5783579</v>
      </c>
      <c r="L31" s="7" t="n">
        <v>45597</v>
      </c>
      <c r="M31" s="3" t="n">
        <v>134.7</v>
      </c>
      <c r="N31" s="3" t="n">
        <v>152.89</v>
      </c>
      <c r="O31" s="3" t="n">
        <v>131.8</v>
      </c>
      <c r="P31" s="3" t="n">
        <v>138.25</v>
      </c>
      <c r="Q31" s="3" t="n">
        <v>137.88</v>
      </c>
      <c r="R31" s="8" t="n">
        <v>4497414600</v>
      </c>
      <c r="X31" s="7" t="n">
        <v>45352</v>
      </c>
      <c r="Y31" s="3" t="n">
        <v>1.0805</v>
      </c>
      <c r="Z31" s="3" t="n">
        <v>1.0978</v>
      </c>
      <c r="AA31" s="3" t="n">
        <v>1.0769</v>
      </c>
      <c r="AB31" s="3" t="n">
        <v>1.0801</v>
      </c>
      <c r="AC31" s="3" t="n">
        <v>1.0801</v>
      </c>
      <c r="AD31" s="3" t="s">
        <v>7</v>
      </c>
    </row>
    <row r="32" customFormat="false" ht="16.5" hidden="false" customHeight="false" outlineLevel="0" collapsed="false">
      <c r="A32" s="4" t="n">
        <v>45408</v>
      </c>
      <c r="B32" s="10" t="s">
        <v>12</v>
      </c>
      <c r="C32" s="10"/>
      <c r="D32" s="10"/>
      <c r="E32" s="10"/>
      <c r="F32" s="10"/>
      <c r="G32" s="10"/>
      <c r="L32" s="4" t="n">
        <v>45566</v>
      </c>
      <c r="M32" s="5" t="n">
        <v>121.77</v>
      </c>
      <c r="N32" s="5" t="n">
        <v>144.42</v>
      </c>
      <c r="O32" s="5" t="n">
        <v>115.14</v>
      </c>
      <c r="P32" s="5" t="n">
        <v>132.76</v>
      </c>
      <c r="Q32" s="5" t="n">
        <v>132.4</v>
      </c>
      <c r="R32" s="6" t="n">
        <v>5627917200</v>
      </c>
      <c r="X32" s="4" t="n">
        <v>45323</v>
      </c>
      <c r="Y32" s="5" t="n">
        <v>1.0804</v>
      </c>
      <c r="Z32" s="5" t="n">
        <v>1.0898</v>
      </c>
      <c r="AA32" s="5" t="n">
        <v>1.0696</v>
      </c>
      <c r="AB32" s="5" t="n">
        <v>1.0839</v>
      </c>
      <c r="AC32" s="5" t="n">
        <v>1.0839</v>
      </c>
      <c r="AD32" s="5" t="s">
        <v>7</v>
      </c>
    </row>
    <row r="33" customFormat="false" ht="16.5" hidden="false" customHeight="false" outlineLevel="0" collapsed="false">
      <c r="A33" s="7" t="n">
        <v>45383</v>
      </c>
      <c r="B33" s="3" t="n">
        <v>437.8</v>
      </c>
      <c r="C33" s="3" t="n">
        <v>449.05</v>
      </c>
      <c r="D33" s="3" t="n">
        <v>407.85</v>
      </c>
      <c r="E33" s="3" t="n">
        <v>439.65</v>
      </c>
      <c r="F33" s="3" t="n">
        <v>423.51</v>
      </c>
      <c r="G33" s="8" t="n">
        <v>6906794</v>
      </c>
      <c r="L33" s="7" t="n">
        <v>45547</v>
      </c>
      <c r="M33" s="9" t="s">
        <v>10</v>
      </c>
      <c r="N33" s="9"/>
      <c r="O33" s="9"/>
      <c r="P33" s="9"/>
      <c r="Q33" s="9"/>
      <c r="R33" s="9"/>
      <c r="X33" s="7" t="n">
        <v>45292</v>
      </c>
      <c r="Y33" s="3" t="n">
        <v>1.1056</v>
      </c>
      <c r="Z33" s="3" t="n">
        <v>1.1053</v>
      </c>
      <c r="AA33" s="3" t="n">
        <v>1.0797</v>
      </c>
      <c r="AB33" s="3" t="n">
        <v>1.0843</v>
      </c>
      <c r="AC33" s="3" t="n">
        <v>1.0843</v>
      </c>
      <c r="AD33" s="3" t="s">
        <v>7</v>
      </c>
    </row>
    <row r="34" customFormat="false" ht="16.5" hidden="false" customHeight="false" outlineLevel="0" collapsed="false">
      <c r="A34" s="4" t="n">
        <v>45352</v>
      </c>
      <c r="B34" s="5" t="n">
        <v>442.8</v>
      </c>
      <c r="C34" s="5" t="n">
        <v>457.5</v>
      </c>
      <c r="D34" s="5" t="n">
        <v>428.1</v>
      </c>
      <c r="E34" s="5" t="n">
        <v>438.65</v>
      </c>
      <c r="F34" s="5" t="n">
        <v>416.14</v>
      </c>
      <c r="G34" s="6" t="n">
        <v>5355411</v>
      </c>
      <c r="L34" s="4" t="n">
        <v>45536</v>
      </c>
      <c r="M34" s="5" t="n">
        <v>116.01</v>
      </c>
      <c r="N34" s="5" t="n">
        <v>127.67</v>
      </c>
      <c r="O34" s="5" t="n">
        <v>100.95</v>
      </c>
      <c r="P34" s="5" t="n">
        <v>121.44</v>
      </c>
      <c r="Q34" s="5" t="n">
        <v>121.12</v>
      </c>
      <c r="R34" s="6" t="n">
        <v>6271163200</v>
      </c>
      <c r="X34" s="4" t="n">
        <v>45261</v>
      </c>
      <c r="Y34" s="5" t="n">
        <v>1.0892</v>
      </c>
      <c r="Z34" s="5" t="n">
        <v>1.1139</v>
      </c>
      <c r="AA34" s="5" t="n">
        <v>0.9191</v>
      </c>
      <c r="AB34" s="5" t="n">
        <v>1.1056</v>
      </c>
      <c r="AC34" s="5" t="n">
        <v>1.1056</v>
      </c>
      <c r="AD34" s="5" t="s">
        <v>7</v>
      </c>
    </row>
    <row r="35" customFormat="false" ht="16.5" hidden="false" customHeight="false" outlineLevel="0" collapsed="false">
      <c r="A35" s="7" t="n">
        <v>45323</v>
      </c>
      <c r="B35" s="3" t="n">
        <v>447.45</v>
      </c>
      <c r="C35" s="3" t="n">
        <v>460.6</v>
      </c>
      <c r="D35" s="3" t="n">
        <v>417.1</v>
      </c>
      <c r="E35" s="3" t="n">
        <v>441.7</v>
      </c>
      <c r="F35" s="3" t="n">
        <v>419.04</v>
      </c>
      <c r="G35" s="8" t="n">
        <v>6364642</v>
      </c>
      <c r="L35" s="7" t="n">
        <v>45505</v>
      </c>
      <c r="M35" s="3" t="n">
        <v>117.53</v>
      </c>
      <c r="N35" s="3" t="n">
        <v>131.26</v>
      </c>
      <c r="O35" s="3" t="n">
        <v>90.69</v>
      </c>
      <c r="P35" s="3" t="n">
        <v>119.37</v>
      </c>
      <c r="Q35" s="3" t="n">
        <v>119.04</v>
      </c>
      <c r="R35" s="8" t="n">
        <v>8105367800</v>
      </c>
      <c r="X35" s="7" t="n">
        <v>45231</v>
      </c>
      <c r="Y35" s="3" t="n">
        <v>1.0579</v>
      </c>
      <c r="Z35" s="3" t="n">
        <v>1.1017</v>
      </c>
      <c r="AA35" s="3" t="n">
        <v>1.0523</v>
      </c>
      <c r="AB35" s="3" t="n">
        <v>1.0974</v>
      </c>
      <c r="AC35" s="3" t="n">
        <v>1.0974</v>
      </c>
      <c r="AD35" s="3" t="s">
        <v>7</v>
      </c>
    </row>
    <row r="36" customFormat="false" ht="16.5" hidden="false" customHeight="false" outlineLevel="0" collapsed="false">
      <c r="A36" s="4" t="n">
        <v>45292</v>
      </c>
      <c r="B36" s="5" t="n">
        <v>450.65</v>
      </c>
      <c r="C36" s="5" t="n">
        <v>454.05</v>
      </c>
      <c r="D36" s="5" t="n">
        <v>417</v>
      </c>
      <c r="E36" s="5" t="n">
        <v>444.7</v>
      </c>
      <c r="F36" s="5" t="n">
        <v>421.88</v>
      </c>
      <c r="G36" s="6" t="n">
        <v>5599193</v>
      </c>
      <c r="L36" s="4" t="n">
        <v>45474</v>
      </c>
      <c r="M36" s="5" t="n">
        <v>123.47</v>
      </c>
      <c r="N36" s="5" t="n">
        <v>136.15</v>
      </c>
      <c r="O36" s="5" t="n">
        <v>102.54</v>
      </c>
      <c r="P36" s="5" t="n">
        <v>117.02</v>
      </c>
      <c r="Q36" s="5" t="n">
        <v>116.7</v>
      </c>
      <c r="R36" s="6" t="n">
        <v>6405438600</v>
      </c>
      <c r="X36" s="4" t="n">
        <v>45200</v>
      </c>
      <c r="Y36" s="5" t="n">
        <v>1.0588</v>
      </c>
      <c r="Z36" s="5" t="n">
        <v>1.069</v>
      </c>
      <c r="AA36" s="5" t="n">
        <v>1.045</v>
      </c>
      <c r="AB36" s="5" t="n">
        <v>1.0615</v>
      </c>
      <c r="AC36" s="5" t="n">
        <v>1.0615</v>
      </c>
      <c r="AD36" s="5" t="s">
        <v>7</v>
      </c>
    </row>
    <row r="37" customFormat="false" ht="16.5" hidden="false" customHeight="false" outlineLevel="0" collapsed="false">
      <c r="A37" s="7" t="n">
        <v>45261</v>
      </c>
      <c r="B37" s="3" t="n">
        <v>434.4</v>
      </c>
      <c r="C37" s="3" t="n">
        <v>460</v>
      </c>
      <c r="D37" s="3" t="n">
        <v>433.65</v>
      </c>
      <c r="E37" s="3" t="n">
        <v>450.65</v>
      </c>
      <c r="F37" s="3" t="n">
        <v>427.53</v>
      </c>
      <c r="G37" s="8" t="n">
        <v>5010760</v>
      </c>
      <c r="L37" s="7" t="n">
        <v>45454</v>
      </c>
      <c r="M37" s="9" t="s">
        <v>10</v>
      </c>
      <c r="N37" s="9"/>
      <c r="O37" s="9"/>
      <c r="P37" s="9"/>
      <c r="Q37" s="9"/>
      <c r="R37" s="9"/>
      <c r="X37" s="7" t="n">
        <v>45170</v>
      </c>
      <c r="Y37" s="3" t="n">
        <v>1.0844</v>
      </c>
      <c r="Z37" s="3" t="n">
        <v>1.0881</v>
      </c>
      <c r="AA37" s="3" t="n">
        <v>1.0492</v>
      </c>
      <c r="AB37" s="3" t="n">
        <v>1.0588</v>
      </c>
      <c r="AC37" s="3" t="n">
        <v>1.0588</v>
      </c>
      <c r="AD37" s="3" t="s">
        <v>7</v>
      </c>
    </row>
    <row r="38" customFormat="false" ht="16.5" hidden="false" customHeight="false" outlineLevel="0" collapsed="false">
      <c r="A38" s="4" t="n">
        <v>45231</v>
      </c>
      <c r="B38" s="5" t="n">
        <v>398.3</v>
      </c>
      <c r="C38" s="5" t="n">
        <v>435</v>
      </c>
      <c r="D38" s="5" t="n">
        <v>389.8</v>
      </c>
      <c r="E38" s="5" t="n">
        <v>431.05</v>
      </c>
      <c r="F38" s="5" t="n">
        <v>408.93</v>
      </c>
      <c r="G38" s="6" t="n">
        <v>7065162</v>
      </c>
      <c r="L38" s="4" t="n">
        <v>45444</v>
      </c>
      <c r="M38" s="5" t="n">
        <v>113.62</v>
      </c>
      <c r="N38" s="5" t="n">
        <v>140.76</v>
      </c>
      <c r="O38" s="5" t="n">
        <v>112</v>
      </c>
      <c r="P38" s="5" t="n">
        <v>123.54</v>
      </c>
      <c r="Q38" s="5" t="n">
        <v>123.2</v>
      </c>
      <c r="R38" s="6" t="n">
        <v>7424176700</v>
      </c>
      <c r="X38" s="4" t="n">
        <v>45139</v>
      </c>
      <c r="Y38" s="5" t="n">
        <v>1.0998</v>
      </c>
      <c r="Z38" s="5" t="n">
        <v>1.1058</v>
      </c>
      <c r="AA38" s="5" t="n">
        <v>1.0767</v>
      </c>
      <c r="AB38" s="5" t="n">
        <v>1.0933</v>
      </c>
      <c r="AC38" s="5" t="n">
        <v>1.0933</v>
      </c>
      <c r="AD38" s="5" t="s">
        <v>7</v>
      </c>
    </row>
    <row r="39" customFormat="false" ht="16.5" hidden="false" customHeight="false" outlineLevel="0" collapsed="false">
      <c r="A39" s="7" t="n">
        <v>45200</v>
      </c>
      <c r="B39" s="3" t="n">
        <v>394.75</v>
      </c>
      <c r="C39" s="3" t="n">
        <v>400.9</v>
      </c>
      <c r="D39" s="3" t="n">
        <v>372</v>
      </c>
      <c r="E39" s="3" t="n">
        <v>396.15</v>
      </c>
      <c r="F39" s="3" t="n">
        <v>375.82</v>
      </c>
      <c r="G39" s="8" t="n">
        <v>7012300</v>
      </c>
      <c r="L39" s="7" t="n">
        <v>45453</v>
      </c>
      <c r="M39" s="9" t="s">
        <v>13</v>
      </c>
      <c r="N39" s="9"/>
      <c r="O39" s="9"/>
      <c r="P39" s="9"/>
      <c r="Q39" s="9"/>
      <c r="R39" s="9"/>
      <c r="X39" s="7" t="n">
        <v>45108</v>
      </c>
      <c r="Y39" s="3" t="n">
        <v>1.0918</v>
      </c>
      <c r="Z39" s="3" t="n">
        <v>1.1276</v>
      </c>
      <c r="AA39" s="3" t="n">
        <v>1.0834</v>
      </c>
      <c r="AB39" s="3" t="n">
        <v>1.1024</v>
      </c>
      <c r="AC39" s="3" t="n">
        <v>1.1024</v>
      </c>
      <c r="AD39" s="3" t="s">
        <v>7</v>
      </c>
    </row>
    <row r="40" customFormat="false" ht="16.5" hidden="false" customHeight="false" outlineLevel="0" collapsed="false">
      <c r="A40" s="4" t="n">
        <v>45170</v>
      </c>
      <c r="B40" s="5" t="n">
        <v>404</v>
      </c>
      <c r="C40" s="5" t="n">
        <v>413.2</v>
      </c>
      <c r="D40" s="5" t="n">
        <v>385.65</v>
      </c>
      <c r="E40" s="5" t="n">
        <v>393.2</v>
      </c>
      <c r="F40" s="5" t="n">
        <v>373.02</v>
      </c>
      <c r="G40" s="6" t="n">
        <v>7305542</v>
      </c>
      <c r="L40" s="4" t="n">
        <v>45413</v>
      </c>
      <c r="M40" s="5" t="n">
        <v>85.08</v>
      </c>
      <c r="N40" s="5" t="n">
        <v>115.82</v>
      </c>
      <c r="O40" s="5" t="n">
        <v>81.25</v>
      </c>
      <c r="P40" s="5" t="n">
        <v>109.63</v>
      </c>
      <c r="Q40" s="5" t="n">
        <v>109.32</v>
      </c>
      <c r="R40" s="6" t="n">
        <v>9645174000</v>
      </c>
      <c r="X40" s="4" t="n">
        <v>45078</v>
      </c>
      <c r="Y40" s="5" t="n">
        <v>1.0695</v>
      </c>
      <c r="Z40" s="5" t="n">
        <v>1.1011</v>
      </c>
      <c r="AA40" s="5" t="n">
        <v>1.0664</v>
      </c>
      <c r="AB40" s="5" t="n">
        <v>1.0868</v>
      </c>
      <c r="AC40" s="5" t="n">
        <v>1.0868</v>
      </c>
      <c r="AD40" s="5" t="s">
        <v>7</v>
      </c>
    </row>
    <row r="41" customFormat="false" ht="16.5" hidden="false" customHeight="false" outlineLevel="0" collapsed="false">
      <c r="A41" s="7" t="n">
        <v>45139</v>
      </c>
      <c r="B41" s="3" t="n">
        <v>425</v>
      </c>
      <c r="C41" s="3" t="n">
        <v>426.25</v>
      </c>
      <c r="D41" s="3" t="n">
        <v>393.55</v>
      </c>
      <c r="E41" s="3" t="n">
        <v>405.8</v>
      </c>
      <c r="F41" s="3" t="n">
        <v>384.98</v>
      </c>
      <c r="G41" s="8" t="n">
        <v>5762538</v>
      </c>
      <c r="L41" s="7" t="n">
        <v>45383</v>
      </c>
      <c r="M41" s="3" t="n">
        <v>90.3</v>
      </c>
      <c r="N41" s="3" t="n">
        <v>92.22</v>
      </c>
      <c r="O41" s="3" t="n">
        <v>75.61</v>
      </c>
      <c r="P41" s="3" t="n">
        <v>86.4</v>
      </c>
      <c r="Q41" s="3" t="n">
        <v>86.16</v>
      </c>
      <c r="R41" s="8" t="n">
        <v>10072334000</v>
      </c>
      <c r="X41" s="7" t="n">
        <v>45047</v>
      </c>
      <c r="Y41" s="3" t="n">
        <v>1.1011</v>
      </c>
      <c r="Z41" s="3" t="n">
        <v>1.1212</v>
      </c>
      <c r="AA41" s="3" t="n">
        <v>1.0652</v>
      </c>
      <c r="AB41" s="3" t="n">
        <v>1.0733</v>
      </c>
      <c r="AC41" s="3" t="n">
        <v>1.0733</v>
      </c>
      <c r="AD41" s="3" t="s">
        <v>7</v>
      </c>
    </row>
    <row r="42" customFormat="false" ht="16.5" hidden="false" customHeight="false" outlineLevel="0" collapsed="false">
      <c r="A42" s="4" t="n">
        <v>45108</v>
      </c>
      <c r="B42" s="5" t="n">
        <v>427.8</v>
      </c>
      <c r="C42" s="5" t="n">
        <v>427.85</v>
      </c>
      <c r="D42" s="5" t="n">
        <v>397.2</v>
      </c>
      <c r="E42" s="5" t="n">
        <v>423.2</v>
      </c>
      <c r="F42" s="5" t="n">
        <v>401.48</v>
      </c>
      <c r="G42" s="6" t="n">
        <v>5871594</v>
      </c>
      <c r="L42" s="4" t="n">
        <v>45356</v>
      </c>
      <c r="M42" s="10" t="s">
        <v>14</v>
      </c>
      <c r="N42" s="10"/>
      <c r="O42" s="10"/>
      <c r="P42" s="10"/>
      <c r="Q42" s="10"/>
      <c r="R42" s="10"/>
      <c r="X42" s="4" t="n">
        <v>45017</v>
      </c>
      <c r="Y42" s="5" t="n">
        <v>1.0872</v>
      </c>
      <c r="Z42" s="5" t="n">
        <v>1.1128</v>
      </c>
      <c r="AA42" s="5" t="n">
        <v>1.0789</v>
      </c>
      <c r="AB42" s="5" t="n">
        <v>1.1128</v>
      </c>
      <c r="AC42" s="5" t="n">
        <v>1.1128</v>
      </c>
      <c r="AD42" s="5" t="s">
        <v>7</v>
      </c>
    </row>
    <row r="43" customFormat="false" ht="16.5" hidden="false" customHeight="false" outlineLevel="0" collapsed="false">
      <c r="A43" s="7" t="n">
        <v>45078</v>
      </c>
      <c r="B43" s="3" t="n">
        <v>402.65</v>
      </c>
      <c r="C43" s="3" t="n">
        <v>428.8</v>
      </c>
      <c r="D43" s="3" t="n">
        <v>395.05</v>
      </c>
      <c r="E43" s="3" t="n">
        <v>427.1</v>
      </c>
      <c r="F43" s="3" t="n">
        <v>405.18</v>
      </c>
      <c r="G43" s="8" t="n">
        <v>6955628</v>
      </c>
      <c r="L43" s="7" t="n">
        <v>45352</v>
      </c>
      <c r="M43" s="3" t="n">
        <v>80</v>
      </c>
      <c r="N43" s="3" t="n">
        <v>97.4</v>
      </c>
      <c r="O43" s="3" t="n">
        <v>79.43</v>
      </c>
      <c r="P43" s="3" t="n">
        <v>90.36</v>
      </c>
      <c r="Q43" s="3" t="n">
        <v>90.1</v>
      </c>
      <c r="R43" s="8" t="n">
        <v>12149218000</v>
      </c>
      <c r="X43" s="7" t="n">
        <v>44986</v>
      </c>
      <c r="Y43" s="3" t="n">
        <v>1.0577</v>
      </c>
      <c r="Z43" s="3" t="n">
        <v>1.0929</v>
      </c>
      <c r="AA43" s="3" t="n">
        <v>1.052</v>
      </c>
      <c r="AB43" s="3" t="n">
        <v>1.0905</v>
      </c>
      <c r="AC43" s="3" t="n">
        <v>1.0905</v>
      </c>
      <c r="AD43" s="3" t="s">
        <v>7</v>
      </c>
    </row>
    <row r="44" customFormat="false" ht="16.5" hidden="false" customHeight="false" outlineLevel="0" collapsed="false">
      <c r="A44" s="4" t="n">
        <v>45047</v>
      </c>
      <c r="B44" s="5" t="n">
        <v>432.75</v>
      </c>
      <c r="C44" s="5" t="n">
        <v>440</v>
      </c>
      <c r="D44" s="5" t="n">
        <v>396.8</v>
      </c>
      <c r="E44" s="5" t="n">
        <v>399</v>
      </c>
      <c r="F44" s="5" t="n">
        <v>378.53</v>
      </c>
      <c r="G44" s="6" t="n">
        <v>6525396</v>
      </c>
      <c r="L44" s="4" t="n">
        <v>45323</v>
      </c>
      <c r="M44" s="5" t="n">
        <v>62.1</v>
      </c>
      <c r="N44" s="5" t="n">
        <v>82.39</v>
      </c>
      <c r="O44" s="5" t="n">
        <v>61.65</v>
      </c>
      <c r="P44" s="5" t="n">
        <v>79.11</v>
      </c>
      <c r="Q44" s="5" t="n">
        <v>78.88</v>
      </c>
      <c r="R44" s="6" t="n">
        <v>11061356000</v>
      </c>
      <c r="X44" s="4" t="n">
        <v>44958</v>
      </c>
      <c r="Y44" s="5" t="n">
        <v>1.0861</v>
      </c>
      <c r="Z44" s="5" t="n">
        <v>1.1027</v>
      </c>
      <c r="AA44" s="5" t="n">
        <v>1.0534</v>
      </c>
      <c r="AB44" s="5" t="n">
        <v>1.0611</v>
      </c>
      <c r="AC44" s="5" t="n">
        <v>1.0611</v>
      </c>
      <c r="AD44" s="5" t="s">
        <v>7</v>
      </c>
    </row>
    <row r="45" customFormat="false" ht="16.5" hidden="false" customHeight="false" outlineLevel="0" collapsed="false">
      <c r="A45" s="7" t="n">
        <v>45042</v>
      </c>
      <c r="B45" s="9" t="s">
        <v>15</v>
      </c>
      <c r="C45" s="9"/>
      <c r="D45" s="9"/>
      <c r="E45" s="9"/>
      <c r="F45" s="9"/>
      <c r="G45" s="9"/>
      <c r="L45" s="7" t="n">
        <v>45292</v>
      </c>
      <c r="M45" s="3" t="n">
        <v>49.24</v>
      </c>
      <c r="N45" s="3" t="n">
        <v>63.49</v>
      </c>
      <c r="O45" s="3" t="n">
        <v>47.32</v>
      </c>
      <c r="P45" s="3" t="n">
        <v>61.53</v>
      </c>
      <c r="Q45" s="3" t="n">
        <v>61.35</v>
      </c>
      <c r="R45" s="8" t="n">
        <v>9706237000</v>
      </c>
      <c r="X45" s="7" t="n">
        <v>44927</v>
      </c>
      <c r="Y45" s="3" t="n">
        <v>1.0728</v>
      </c>
      <c r="Z45" s="3" t="n">
        <v>1.0933</v>
      </c>
      <c r="AA45" s="3" t="n">
        <v>1.0485</v>
      </c>
      <c r="AB45" s="3" t="n">
        <v>1.0851</v>
      </c>
      <c r="AC45" s="3" t="n">
        <v>1.0851</v>
      </c>
      <c r="AD45" s="3" t="s">
        <v>7</v>
      </c>
    </row>
    <row r="46" customFormat="false" ht="16.5" hidden="false" customHeight="false" outlineLevel="0" collapsed="false">
      <c r="A46" s="4" t="n">
        <v>45017</v>
      </c>
      <c r="B46" s="5" t="n">
        <v>409.4</v>
      </c>
      <c r="C46" s="5" t="n">
        <v>442.6</v>
      </c>
      <c r="D46" s="5" t="n">
        <v>409.05</v>
      </c>
      <c r="E46" s="5" t="n">
        <v>432.75</v>
      </c>
      <c r="F46" s="5" t="n">
        <v>410.54</v>
      </c>
      <c r="G46" s="6" t="n">
        <v>6503817</v>
      </c>
      <c r="L46" s="4" t="n">
        <v>45265</v>
      </c>
      <c r="M46" s="10" t="s">
        <v>14</v>
      </c>
      <c r="N46" s="10"/>
      <c r="O46" s="10"/>
      <c r="P46" s="10"/>
      <c r="Q46" s="10"/>
      <c r="R46" s="10"/>
      <c r="X46" s="4" t="n">
        <v>44896</v>
      </c>
      <c r="Y46" s="5" t="n">
        <v>1.0425</v>
      </c>
      <c r="Z46" s="5" t="n">
        <v>1.0728</v>
      </c>
      <c r="AA46" s="5" t="n">
        <v>1.0398</v>
      </c>
      <c r="AB46" s="5" t="n">
        <v>1.0728</v>
      </c>
      <c r="AC46" s="5" t="n">
        <v>1.0728</v>
      </c>
      <c r="AD46" s="5" t="s">
        <v>7</v>
      </c>
    </row>
    <row r="47" customFormat="false" ht="16.5" hidden="false" customHeight="false" outlineLevel="0" collapsed="false">
      <c r="A47" s="7" t="n">
        <v>44986</v>
      </c>
      <c r="B47" s="3" t="n">
        <v>374.75</v>
      </c>
      <c r="C47" s="3" t="n">
        <v>413.55</v>
      </c>
      <c r="D47" s="3" t="n">
        <v>365.8</v>
      </c>
      <c r="E47" s="3" t="n">
        <v>411.25</v>
      </c>
      <c r="F47" s="3" t="n">
        <v>384.73</v>
      </c>
      <c r="G47" s="8" t="n">
        <v>8760692</v>
      </c>
      <c r="L47" s="7" t="n">
        <v>45261</v>
      </c>
      <c r="M47" s="3" t="n">
        <v>46.53</v>
      </c>
      <c r="N47" s="3" t="n">
        <v>50.43</v>
      </c>
      <c r="O47" s="3" t="n">
        <v>45.01</v>
      </c>
      <c r="P47" s="3" t="n">
        <v>49.52</v>
      </c>
      <c r="Q47" s="3" t="n">
        <v>49.38</v>
      </c>
      <c r="R47" s="8" t="n">
        <v>7411887000</v>
      </c>
      <c r="X47" s="7" t="n">
        <v>44866</v>
      </c>
      <c r="Y47" s="3" t="n">
        <v>0.9886</v>
      </c>
      <c r="Z47" s="3" t="n">
        <v>1.0497</v>
      </c>
      <c r="AA47" s="3" t="n">
        <v>0.9731</v>
      </c>
      <c r="AB47" s="3" t="n">
        <v>1.0324</v>
      </c>
      <c r="AC47" s="3" t="n">
        <v>1.0324</v>
      </c>
      <c r="AD47" s="3" t="s">
        <v>7</v>
      </c>
    </row>
    <row r="48" customFormat="false" ht="16.5" hidden="false" customHeight="false" outlineLevel="0" collapsed="false">
      <c r="A48" s="4" t="n">
        <v>44958</v>
      </c>
      <c r="B48" s="5" t="n">
        <v>376.2</v>
      </c>
      <c r="C48" s="5" t="n">
        <v>393.6</v>
      </c>
      <c r="D48" s="5" t="n">
        <v>364.2</v>
      </c>
      <c r="E48" s="5" t="n">
        <v>375.1</v>
      </c>
      <c r="F48" s="5" t="n">
        <v>350.91</v>
      </c>
      <c r="G48" s="6" t="n">
        <v>7495999</v>
      </c>
      <c r="L48" s="4" t="n">
        <v>45231</v>
      </c>
      <c r="M48" s="5" t="n">
        <v>40.88</v>
      </c>
      <c r="N48" s="5" t="n">
        <v>50.55</v>
      </c>
      <c r="O48" s="5" t="n">
        <v>40.87</v>
      </c>
      <c r="P48" s="5" t="n">
        <v>46.77</v>
      </c>
      <c r="Q48" s="5" t="n">
        <v>46.63</v>
      </c>
      <c r="R48" s="6" t="n">
        <v>9144618000</v>
      </c>
      <c r="X48" s="4" t="n">
        <v>44835</v>
      </c>
      <c r="Y48" s="5" t="n">
        <v>0.9805</v>
      </c>
      <c r="Z48" s="5" t="n">
        <v>1.0095</v>
      </c>
      <c r="AA48" s="5" t="n">
        <v>0.9636</v>
      </c>
      <c r="AB48" s="5" t="n">
        <v>0.9955</v>
      </c>
      <c r="AC48" s="5" t="n">
        <v>0.9955</v>
      </c>
      <c r="AD48" s="5" t="s">
        <v>7</v>
      </c>
    </row>
    <row r="49" customFormat="false" ht="16.5" hidden="false" customHeight="false" outlineLevel="0" collapsed="false">
      <c r="A49" s="7" t="n">
        <v>44927</v>
      </c>
      <c r="B49" s="3" t="n">
        <v>336.15</v>
      </c>
      <c r="C49" s="3" t="n">
        <v>388.4</v>
      </c>
      <c r="D49" s="3" t="n">
        <v>334.3</v>
      </c>
      <c r="E49" s="3" t="n">
        <v>378.05</v>
      </c>
      <c r="F49" s="3" t="n">
        <v>353.67</v>
      </c>
      <c r="G49" s="8" t="n">
        <v>7573047</v>
      </c>
      <c r="L49" s="7" t="n">
        <v>45200</v>
      </c>
      <c r="M49" s="3" t="n">
        <v>44.03</v>
      </c>
      <c r="N49" s="3" t="n">
        <v>47.61</v>
      </c>
      <c r="O49" s="3" t="n">
        <v>39.23</v>
      </c>
      <c r="P49" s="3" t="n">
        <v>40.78</v>
      </c>
      <c r="Q49" s="3" t="n">
        <v>40.66</v>
      </c>
      <c r="R49" s="8" t="n">
        <v>10141101000</v>
      </c>
      <c r="X49" s="7" t="n">
        <v>44805</v>
      </c>
      <c r="Y49" s="3" t="n">
        <v>1.0039</v>
      </c>
      <c r="Z49" s="3" t="n">
        <v>1.0197</v>
      </c>
      <c r="AA49" s="3" t="n">
        <v>0.954</v>
      </c>
      <c r="AB49" s="3" t="n">
        <v>0.983</v>
      </c>
      <c r="AC49" s="3" t="n">
        <v>0.983</v>
      </c>
      <c r="AD49" s="3" t="s">
        <v>7</v>
      </c>
    </row>
    <row r="50" customFormat="false" ht="16.5" hidden="false" customHeight="false" outlineLevel="0" collapsed="false">
      <c r="A50" s="4" t="n">
        <v>44896</v>
      </c>
      <c r="B50" s="5" t="n">
        <v>359.75</v>
      </c>
      <c r="C50" s="5" t="n">
        <v>364.8</v>
      </c>
      <c r="D50" s="5" t="n">
        <v>330</v>
      </c>
      <c r="E50" s="5" t="n">
        <v>333.6</v>
      </c>
      <c r="F50" s="5" t="n">
        <v>312.09</v>
      </c>
      <c r="G50" s="6" t="n">
        <v>6630812</v>
      </c>
      <c r="L50" s="4" t="n">
        <v>45175</v>
      </c>
      <c r="M50" s="10" t="s">
        <v>14</v>
      </c>
      <c r="N50" s="10"/>
      <c r="O50" s="10"/>
      <c r="P50" s="10"/>
      <c r="Q50" s="10"/>
      <c r="R50" s="10"/>
      <c r="X50" s="4" t="n">
        <v>44774</v>
      </c>
      <c r="Y50" s="5" t="n">
        <v>1.0208</v>
      </c>
      <c r="Z50" s="5" t="n">
        <v>1.0369</v>
      </c>
      <c r="AA50" s="5" t="n">
        <v>0.9903</v>
      </c>
      <c r="AB50" s="5" t="n">
        <v>1.0025</v>
      </c>
      <c r="AC50" s="5" t="n">
        <v>1.0025</v>
      </c>
      <c r="AD50" s="5" t="s">
        <v>7</v>
      </c>
    </row>
    <row r="51" customFormat="false" ht="16.5" hidden="false" customHeight="false" outlineLevel="0" collapsed="false">
      <c r="A51" s="7" t="n">
        <v>44866</v>
      </c>
      <c r="B51" s="3" t="n">
        <v>321.3</v>
      </c>
      <c r="C51" s="3" t="n">
        <v>356.7</v>
      </c>
      <c r="D51" s="3" t="n">
        <v>300.7</v>
      </c>
      <c r="E51" s="3" t="n">
        <v>354.8</v>
      </c>
      <c r="F51" s="3" t="n">
        <v>331.92</v>
      </c>
      <c r="G51" s="8" t="n">
        <v>8945604</v>
      </c>
      <c r="L51" s="7" t="n">
        <v>45170</v>
      </c>
      <c r="M51" s="3" t="n">
        <v>49.76</v>
      </c>
      <c r="N51" s="3" t="n">
        <v>49.8</v>
      </c>
      <c r="O51" s="3" t="n">
        <v>40.98</v>
      </c>
      <c r="P51" s="3" t="n">
        <v>43.5</v>
      </c>
      <c r="Q51" s="3" t="n">
        <v>43.37</v>
      </c>
      <c r="R51" s="8" t="n">
        <v>8579273000</v>
      </c>
      <c r="X51" s="7" t="n">
        <v>44743</v>
      </c>
      <c r="Y51" s="3" t="n">
        <v>1.0478</v>
      </c>
      <c r="Z51" s="3" t="n">
        <v>1.0478</v>
      </c>
      <c r="AA51" s="3" t="n">
        <v>0.9954</v>
      </c>
      <c r="AB51" s="3" t="n">
        <v>1.0227</v>
      </c>
      <c r="AC51" s="3" t="n">
        <v>1.0227</v>
      </c>
      <c r="AD51" s="3" t="s">
        <v>7</v>
      </c>
    </row>
    <row r="52" customFormat="false" ht="16.5" hidden="false" customHeight="false" outlineLevel="0" collapsed="false">
      <c r="A52" s="4" t="n">
        <v>44835</v>
      </c>
      <c r="B52" s="5" t="n">
        <v>326.95</v>
      </c>
      <c r="C52" s="5" t="n">
        <v>341.1</v>
      </c>
      <c r="D52" s="5" t="n">
        <v>304.05</v>
      </c>
      <c r="E52" s="5" t="n">
        <v>318.1</v>
      </c>
      <c r="F52" s="5" t="n">
        <v>297.59</v>
      </c>
      <c r="G52" s="6" t="n">
        <v>8397766</v>
      </c>
      <c r="L52" s="4" t="n">
        <v>45139</v>
      </c>
      <c r="M52" s="5" t="n">
        <v>46.46</v>
      </c>
      <c r="N52" s="5" t="n">
        <v>50.27</v>
      </c>
      <c r="O52" s="5" t="n">
        <v>40.31</v>
      </c>
      <c r="P52" s="5" t="n">
        <v>49.35</v>
      </c>
      <c r="Q52" s="5" t="n">
        <v>49.2</v>
      </c>
      <c r="R52" s="6" t="n">
        <v>13632152000</v>
      </c>
      <c r="X52" s="4" t="n">
        <v>44713</v>
      </c>
      <c r="Y52" s="5" t="n">
        <v>1.0734</v>
      </c>
      <c r="Z52" s="5" t="n">
        <v>1.077</v>
      </c>
      <c r="AA52" s="5" t="n">
        <v>1.0383</v>
      </c>
      <c r="AB52" s="5" t="n">
        <v>1.0447</v>
      </c>
      <c r="AC52" s="5" t="n">
        <v>1.0447</v>
      </c>
      <c r="AD52" s="5" t="s">
        <v>7</v>
      </c>
    </row>
    <row r="53" customFormat="false" ht="16.5" hidden="false" customHeight="false" outlineLevel="0" collapsed="false">
      <c r="A53" s="7" t="n">
        <v>44805</v>
      </c>
      <c r="B53" s="3" t="n">
        <v>340.75</v>
      </c>
      <c r="C53" s="3" t="n">
        <v>361.7</v>
      </c>
      <c r="D53" s="3" t="n">
        <v>319.7</v>
      </c>
      <c r="E53" s="3" t="n">
        <v>330.25</v>
      </c>
      <c r="F53" s="3" t="n">
        <v>308.96</v>
      </c>
      <c r="G53" s="8" t="n">
        <v>8900822</v>
      </c>
      <c r="L53" s="7" t="n">
        <v>45108</v>
      </c>
      <c r="M53" s="3" t="n">
        <v>42.52</v>
      </c>
      <c r="N53" s="3" t="n">
        <v>48.09</v>
      </c>
      <c r="O53" s="3" t="n">
        <v>41.35</v>
      </c>
      <c r="P53" s="3" t="n">
        <v>46.73</v>
      </c>
      <c r="Q53" s="3" t="n">
        <v>46.59</v>
      </c>
      <c r="R53" s="8" t="n">
        <v>8706845000</v>
      </c>
      <c r="X53" s="7" t="n">
        <v>44682</v>
      </c>
      <c r="Y53" s="3" t="n">
        <v>1.0546</v>
      </c>
      <c r="Z53" s="3" t="n">
        <v>1.0785</v>
      </c>
      <c r="AA53" s="3" t="n">
        <v>1.0352</v>
      </c>
      <c r="AB53" s="3" t="n">
        <v>1.0774</v>
      </c>
      <c r="AC53" s="3" t="n">
        <v>1.0774</v>
      </c>
      <c r="AD53" s="3" t="s">
        <v>7</v>
      </c>
    </row>
    <row r="54" customFormat="false" ht="16.5" hidden="false" customHeight="false" outlineLevel="0" collapsed="false">
      <c r="A54" s="4" t="n">
        <v>44774</v>
      </c>
      <c r="B54" s="5" t="n">
        <v>367.55</v>
      </c>
      <c r="C54" s="5" t="n">
        <v>372.15</v>
      </c>
      <c r="D54" s="5" t="n">
        <v>339</v>
      </c>
      <c r="E54" s="5" t="n">
        <v>343.25</v>
      </c>
      <c r="F54" s="5" t="n">
        <v>321.12</v>
      </c>
      <c r="G54" s="6" t="n">
        <v>6597564</v>
      </c>
      <c r="L54" s="4" t="n">
        <v>45084</v>
      </c>
      <c r="M54" s="10" t="s">
        <v>14</v>
      </c>
      <c r="N54" s="10"/>
      <c r="O54" s="10"/>
      <c r="P54" s="10"/>
      <c r="Q54" s="10"/>
      <c r="R54" s="10"/>
      <c r="X54" s="4" t="n">
        <v>44652</v>
      </c>
      <c r="Y54" s="5" t="n">
        <v>1.1072</v>
      </c>
      <c r="Z54" s="5" t="n">
        <v>1.1075</v>
      </c>
      <c r="AA54" s="5" t="n">
        <v>1.0473</v>
      </c>
      <c r="AB54" s="5" t="n">
        <v>1.0546</v>
      </c>
      <c r="AC54" s="5" t="n">
        <v>1.0546</v>
      </c>
      <c r="AD54" s="5" t="s">
        <v>7</v>
      </c>
    </row>
    <row r="55" customFormat="false" ht="16.5" hidden="false" customHeight="false" outlineLevel="0" collapsed="false">
      <c r="A55" s="7" t="n">
        <v>44743</v>
      </c>
      <c r="B55" s="3" t="n">
        <v>327.8</v>
      </c>
      <c r="C55" s="3" t="n">
        <v>373</v>
      </c>
      <c r="D55" s="3" t="n">
        <v>323.05</v>
      </c>
      <c r="E55" s="3" t="n">
        <v>368.1</v>
      </c>
      <c r="F55" s="3" t="n">
        <v>344.37</v>
      </c>
      <c r="G55" s="8" t="n">
        <v>8383480</v>
      </c>
      <c r="L55" s="7" t="n">
        <v>45078</v>
      </c>
      <c r="M55" s="3" t="n">
        <v>38.49</v>
      </c>
      <c r="N55" s="3" t="n">
        <v>43.99</v>
      </c>
      <c r="O55" s="3" t="n">
        <v>37.36</v>
      </c>
      <c r="P55" s="3" t="n">
        <v>42.3</v>
      </c>
      <c r="Q55" s="3" t="n">
        <v>42.17</v>
      </c>
      <c r="R55" s="8" t="n">
        <v>10527050000</v>
      </c>
      <c r="X55" s="7" t="n">
        <v>44621</v>
      </c>
      <c r="Y55" s="3" t="n">
        <v>1.1215</v>
      </c>
      <c r="Z55" s="3" t="n">
        <v>1.1232</v>
      </c>
      <c r="AA55" s="3" t="n">
        <v>1.0809</v>
      </c>
      <c r="AB55" s="3" t="n">
        <v>1.1162</v>
      </c>
      <c r="AC55" s="3" t="n">
        <v>1.1162</v>
      </c>
      <c r="AD55" s="3" t="s">
        <v>7</v>
      </c>
    </row>
    <row r="56" customFormat="false" ht="16.5" hidden="false" customHeight="false" outlineLevel="0" collapsed="false">
      <c r="A56" s="4" t="n">
        <v>44713</v>
      </c>
      <c r="B56" s="5" t="n">
        <v>330.55</v>
      </c>
      <c r="C56" s="5" t="n">
        <v>343.95</v>
      </c>
      <c r="D56" s="5" t="n">
        <v>300.45</v>
      </c>
      <c r="E56" s="5" t="n">
        <v>329.3</v>
      </c>
      <c r="F56" s="5" t="n">
        <v>308.07</v>
      </c>
      <c r="G56" s="6" t="n">
        <v>9216763</v>
      </c>
      <c r="L56" s="4" t="n">
        <v>45047</v>
      </c>
      <c r="M56" s="5" t="n">
        <v>27.84</v>
      </c>
      <c r="N56" s="5" t="n">
        <v>41.94</v>
      </c>
      <c r="O56" s="5" t="n">
        <v>27.24</v>
      </c>
      <c r="P56" s="5" t="n">
        <v>37.83</v>
      </c>
      <c r="Q56" s="5" t="n">
        <v>37.71</v>
      </c>
      <c r="R56" s="6" t="n">
        <v>11697819000</v>
      </c>
      <c r="X56" s="4" t="n">
        <v>44593</v>
      </c>
      <c r="Y56" s="5" t="n">
        <v>1.1229</v>
      </c>
      <c r="Z56" s="5" t="n">
        <v>1.1494</v>
      </c>
      <c r="AA56" s="5" t="n">
        <v>1.111</v>
      </c>
      <c r="AB56" s="5" t="n">
        <v>1.1181</v>
      </c>
      <c r="AC56" s="5" t="n">
        <v>1.1181</v>
      </c>
      <c r="AD56" s="5" t="s">
        <v>7</v>
      </c>
    </row>
    <row r="57" customFormat="false" ht="16.5" hidden="false" customHeight="false" outlineLevel="0" collapsed="false">
      <c r="A57" s="7" t="n">
        <v>44682</v>
      </c>
      <c r="B57" s="3" t="n">
        <v>343.8</v>
      </c>
      <c r="C57" s="3" t="n">
        <v>345.1</v>
      </c>
      <c r="D57" s="3" t="n">
        <v>300.9</v>
      </c>
      <c r="E57" s="3" t="n">
        <v>328.55</v>
      </c>
      <c r="F57" s="3" t="n">
        <v>307.37</v>
      </c>
      <c r="G57" s="8" t="n">
        <v>11356561</v>
      </c>
      <c r="L57" s="7" t="n">
        <v>45017</v>
      </c>
      <c r="M57" s="3" t="n">
        <v>27.51</v>
      </c>
      <c r="N57" s="3" t="n">
        <v>28.11</v>
      </c>
      <c r="O57" s="3" t="n">
        <v>26.22</v>
      </c>
      <c r="P57" s="3" t="n">
        <v>27.75</v>
      </c>
      <c r="Q57" s="3" t="n">
        <v>27.66</v>
      </c>
      <c r="R57" s="8" t="n">
        <v>7436450000</v>
      </c>
      <c r="X57" s="7" t="n">
        <v>44562</v>
      </c>
      <c r="Y57" s="3" t="n">
        <v>1.1375</v>
      </c>
      <c r="Z57" s="3" t="n">
        <v>1.1484</v>
      </c>
      <c r="AA57" s="3" t="n">
        <v>1.1123</v>
      </c>
      <c r="AB57" s="3" t="n">
        <v>1.1152</v>
      </c>
      <c r="AC57" s="3" t="n">
        <v>1.1152</v>
      </c>
      <c r="AD57" s="3" t="s">
        <v>7</v>
      </c>
    </row>
    <row r="58" customFormat="false" ht="16.5" hidden="false" customHeight="false" outlineLevel="0" collapsed="false">
      <c r="A58" s="4" t="n">
        <v>44678</v>
      </c>
      <c r="B58" s="10" t="s">
        <v>16</v>
      </c>
      <c r="C58" s="10"/>
      <c r="D58" s="10"/>
      <c r="E58" s="10"/>
      <c r="F58" s="10"/>
      <c r="G58" s="10"/>
      <c r="L58" s="4" t="n">
        <v>44992</v>
      </c>
      <c r="M58" s="10" t="s">
        <v>14</v>
      </c>
      <c r="N58" s="10"/>
      <c r="O58" s="10"/>
      <c r="P58" s="10"/>
      <c r="Q58" s="10"/>
      <c r="R58" s="10"/>
      <c r="X58" s="4" t="n">
        <v>44531</v>
      </c>
      <c r="Y58" s="5" t="n">
        <v>1.133</v>
      </c>
      <c r="Z58" s="5" t="n">
        <v>1.1379</v>
      </c>
      <c r="AA58" s="5" t="n">
        <v>1.1231</v>
      </c>
      <c r="AB58" s="5" t="n">
        <v>1.1325</v>
      </c>
      <c r="AC58" s="5" t="n">
        <v>1.1325</v>
      </c>
      <c r="AD58" s="5" t="s">
        <v>7</v>
      </c>
    </row>
    <row r="59" customFormat="false" ht="16.5" hidden="false" customHeight="false" outlineLevel="0" collapsed="false">
      <c r="A59" s="7" t="n">
        <v>44652</v>
      </c>
      <c r="B59" s="3" t="n">
        <v>365.05</v>
      </c>
      <c r="C59" s="3" t="n">
        <v>376.35</v>
      </c>
      <c r="D59" s="3" t="n">
        <v>334.35</v>
      </c>
      <c r="E59" s="3" t="n">
        <v>348.9</v>
      </c>
      <c r="F59" s="3" t="n">
        <v>326.4</v>
      </c>
      <c r="G59" s="8" t="n">
        <v>7944298</v>
      </c>
      <c r="L59" s="7" t="n">
        <v>44986</v>
      </c>
      <c r="M59" s="3" t="n">
        <v>23.19</v>
      </c>
      <c r="N59" s="3" t="n">
        <v>27.83</v>
      </c>
      <c r="O59" s="3" t="n">
        <v>22.3</v>
      </c>
      <c r="P59" s="3" t="n">
        <v>27.78</v>
      </c>
      <c r="Q59" s="3" t="n">
        <v>27.69</v>
      </c>
      <c r="R59" s="8" t="n">
        <v>11263731000</v>
      </c>
      <c r="X59" s="7" t="n">
        <v>44501</v>
      </c>
      <c r="Y59" s="3" t="n">
        <v>1.1559</v>
      </c>
      <c r="Z59" s="3" t="n">
        <v>1.1617</v>
      </c>
      <c r="AA59" s="3" t="n">
        <v>1.1188</v>
      </c>
      <c r="AB59" s="3" t="n">
        <v>1.1293</v>
      </c>
      <c r="AC59" s="3" t="n">
        <v>1.1293</v>
      </c>
      <c r="AD59" s="3" t="s">
        <v>7</v>
      </c>
    </row>
    <row r="60" customFormat="false" ht="16.5" hidden="false" customHeight="false" outlineLevel="0" collapsed="false">
      <c r="A60" s="4" t="n">
        <v>44621</v>
      </c>
      <c r="B60" s="5" t="n">
        <v>355</v>
      </c>
      <c r="C60" s="5" t="n">
        <v>376.1</v>
      </c>
      <c r="D60" s="5" t="n">
        <v>322.5</v>
      </c>
      <c r="E60" s="5" t="n">
        <v>363.85</v>
      </c>
      <c r="F60" s="5" t="n">
        <v>335.56</v>
      </c>
      <c r="G60" s="6" t="n">
        <v>13537923</v>
      </c>
      <c r="L60" s="4" t="n">
        <v>44958</v>
      </c>
      <c r="M60" s="5" t="n">
        <v>19.69</v>
      </c>
      <c r="N60" s="5" t="n">
        <v>23.89</v>
      </c>
      <c r="O60" s="5" t="n">
        <v>19.61</v>
      </c>
      <c r="P60" s="5" t="n">
        <v>23.22</v>
      </c>
      <c r="Q60" s="5" t="n">
        <v>23.14</v>
      </c>
      <c r="R60" s="6" t="n">
        <v>10393479000</v>
      </c>
      <c r="X60" s="4" t="n">
        <v>44470</v>
      </c>
      <c r="Y60" s="5" t="n">
        <v>1.1574</v>
      </c>
      <c r="Z60" s="5" t="n">
        <v>1.1693</v>
      </c>
      <c r="AA60" s="5" t="n">
        <v>1.153</v>
      </c>
      <c r="AB60" s="5" t="n">
        <v>1.1561</v>
      </c>
      <c r="AC60" s="5" t="n">
        <v>1.1561</v>
      </c>
      <c r="AD60" s="5" t="s">
        <v>7</v>
      </c>
    </row>
    <row r="61" customFormat="false" ht="16.5" hidden="false" customHeight="false" outlineLevel="0" collapsed="false">
      <c r="A61" s="7" t="n">
        <v>44593</v>
      </c>
      <c r="B61" s="3" t="n">
        <v>380.95</v>
      </c>
      <c r="C61" s="3" t="n">
        <v>385.25</v>
      </c>
      <c r="D61" s="3" t="n">
        <v>328.8</v>
      </c>
      <c r="E61" s="3" t="n">
        <v>355</v>
      </c>
      <c r="F61" s="3" t="n">
        <v>327.4</v>
      </c>
      <c r="G61" s="8" t="n">
        <v>10486784</v>
      </c>
      <c r="L61" s="7" t="n">
        <v>44927</v>
      </c>
      <c r="M61" s="3" t="n">
        <v>14.85</v>
      </c>
      <c r="N61" s="3" t="n">
        <v>20.63</v>
      </c>
      <c r="O61" s="3" t="n">
        <v>14.03</v>
      </c>
      <c r="P61" s="3" t="n">
        <v>19.54</v>
      </c>
      <c r="Q61" s="3" t="n">
        <v>19.47</v>
      </c>
      <c r="R61" s="8" t="n">
        <v>9454960000</v>
      </c>
      <c r="X61" s="7" t="n">
        <v>44440</v>
      </c>
      <c r="Y61" s="3" t="n">
        <v>1.1812</v>
      </c>
      <c r="Z61" s="3" t="n">
        <v>1.1908</v>
      </c>
      <c r="AA61" s="3" t="n">
        <v>1.157</v>
      </c>
      <c r="AB61" s="3" t="n">
        <v>1.1602</v>
      </c>
      <c r="AC61" s="3" t="n">
        <v>1.1602</v>
      </c>
      <c r="AD61" s="3" t="s">
        <v>7</v>
      </c>
    </row>
    <row r="62" customFormat="false" ht="16.5" hidden="false" customHeight="false" outlineLevel="0" collapsed="false">
      <c r="A62" s="4" t="n">
        <v>44562</v>
      </c>
      <c r="B62" s="5" t="n">
        <v>425.25</v>
      </c>
      <c r="C62" s="5" t="n">
        <v>431.95</v>
      </c>
      <c r="D62" s="5" t="n">
        <v>361.45</v>
      </c>
      <c r="E62" s="5" t="n">
        <v>376.85</v>
      </c>
      <c r="F62" s="5" t="n">
        <v>347.55</v>
      </c>
      <c r="G62" s="6" t="n">
        <v>8803912</v>
      </c>
      <c r="L62" s="4" t="n">
        <v>44896</v>
      </c>
      <c r="M62" s="5" t="n">
        <v>17</v>
      </c>
      <c r="N62" s="5" t="n">
        <v>18.79</v>
      </c>
      <c r="O62" s="5" t="n">
        <v>13.88</v>
      </c>
      <c r="P62" s="5" t="n">
        <v>14.61</v>
      </c>
      <c r="Q62" s="5" t="n">
        <v>14.57</v>
      </c>
      <c r="R62" s="6" t="n">
        <v>8946152000</v>
      </c>
      <c r="X62" s="4" t="n">
        <v>44409</v>
      </c>
      <c r="Y62" s="5" t="n">
        <v>1.1868</v>
      </c>
      <c r="Z62" s="5" t="n">
        <v>1.1902</v>
      </c>
      <c r="AA62" s="5" t="n">
        <v>1.1665</v>
      </c>
      <c r="AB62" s="5" t="n">
        <v>1.1797</v>
      </c>
      <c r="AC62" s="5" t="n">
        <v>1.1797</v>
      </c>
      <c r="AD62" s="5" t="s">
        <v>7</v>
      </c>
    </row>
    <row r="63" customFormat="false" ht="16.5" hidden="false" customHeight="false" outlineLevel="0" collapsed="false">
      <c r="A63" s="7" t="n">
        <v>44531</v>
      </c>
      <c r="B63" s="3" t="n">
        <v>399.95</v>
      </c>
      <c r="C63" s="3" t="n">
        <v>433.65</v>
      </c>
      <c r="D63" s="3" t="n">
        <v>395.55</v>
      </c>
      <c r="E63" s="3" t="n">
        <v>416.95</v>
      </c>
      <c r="F63" s="3" t="n">
        <v>384.53</v>
      </c>
      <c r="G63" s="8" t="n">
        <v>7069754</v>
      </c>
      <c r="L63" s="7" t="n">
        <v>44895</v>
      </c>
      <c r="M63" s="9" t="s">
        <v>14</v>
      </c>
      <c r="N63" s="9"/>
      <c r="O63" s="9"/>
      <c r="P63" s="9"/>
      <c r="Q63" s="9"/>
      <c r="R63" s="9"/>
      <c r="X63" s="7" t="n">
        <v>44378</v>
      </c>
      <c r="Y63" s="3" t="n">
        <v>1.1855</v>
      </c>
      <c r="Z63" s="3" t="n">
        <v>1.1911</v>
      </c>
      <c r="AA63" s="3" t="n">
        <v>1.1754</v>
      </c>
      <c r="AB63" s="3" t="n">
        <v>1.1868</v>
      </c>
      <c r="AC63" s="3" t="n">
        <v>1.1868</v>
      </c>
      <c r="AD63" s="3" t="s">
        <v>7</v>
      </c>
    </row>
    <row r="64" customFormat="false" ht="16.5" hidden="false" customHeight="false" outlineLevel="0" collapsed="false">
      <c r="A64" s="4" t="n">
        <v>44501</v>
      </c>
      <c r="B64" s="5" t="n">
        <v>396.15</v>
      </c>
      <c r="C64" s="5" t="n">
        <v>430.45</v>
      </c>
      <c r="D64" s="5" t="n">
        <v>392.75</v>
      </c>
      <c r="E64" s="5" t="n">
        <v>397.5</v>
      </c>
      <c r="F64" s="5" t="n">
        <v>366.59</v>
      </c>
      <c r="G64" s="6" t="n">
        <v>8489661</v>
      </c>
      <c r="L64" s="4" t="n">
        <v>44866</v>
      </c>
      <c r="M64" s="5" t="n">
        <v>13.81</v>
      </c>
      <c r="N64" s="5" t="n">
        <v>17</v>
      </c>
      <c r="O64" s="5" t="n">
        <v>12.96</v>
      </c>
      <c r="P64" s="5" t="n">
        <v>16.92</v>
      </c>
      <c r="Q64" s="5" t="n">
        <v>16.87</v>
      </c>
      <c r="R64" s="6" t="n">
        <v>10600603000</v>
      </c>
      <c r="X64" s="4" t="n">
        <v>44348</v>
      </c>
      <c r="Y64" s="5" t="n">
        <v>1.2234</v>
      </c>
      <c r="Z64" s="5" t="n">
        <v>1.2254</v>
      </c>
      <c r="AA64" s="5" t="n">
        <v>1.1846</v>
      </c>
      <c r="AB64" s="5" t="n">
        <v>1.1902</v>
      </c>
      <c r="AC64" s="5" t="n">
        <v>1.1902</v>
      </c>
      <c r="AD64" s="5" t="s">
        <v>7</v>
      </c>
    </row>
    <row r="65" customFormat="false" ht="16.5" hidden="false" customHeight="false" outlineLevel="0" collapsed="false">
      <c r="A65" s="7" t="n">
        <v>44470</v>
      </c>
      <c r="B65" s="3" t="n">
        <v>354.8</v>
      </c>
      <c r="C65" s="3" t="n">
        <v>394.95</v>
      </c>
      <c r="D65" s="3" t="n">
        <v>351</v>
      </c>
      <c r="E65" s="3" t="n">
        <v>394.95</v>
      </c>
      <c r="F65" s="3" t="n">
        <v>364.24</v>
      </c>
      <c r="G65" s="8" t="n">
        <v>8300736</v>
      </c>
      <c r="L65" s="7" t="n">
        <v>44835</v>
      </c>
      <c r="M65" s="3" t="n">
        <v>12.35</v>
      </c>
      <c r="N65" s="3" t="n">
        <v>13.85</v>
      </c>
      <c r="O65" s="3" t="n">
        <v>10.81</v>
      </c>
      <c r="P65" s="3" t="n">
        <v>13.5</v>
      </c>
      <c r="Q65" s="3" t="n">
        <v>13.45</v>
      </c>
      <c r="R65" s="8" t="n">
        <v>12549277000</v>
      </c>
      <c r="X65" s="7" t="n">
        <v>44317</v>
      </c>
      <c r="Y65" s="3" t="n">
        <v>1.2021</v>
      </c>
      <c r="Z65" s="3" t="n">
        <v>1.2267</v>
      </c>
      <c r="AA65" s="3" t="n">
        <v>1.1987</v>
      </c>
      <c r="AB65" s="3" t="n">
        <v>1.219</v>
      </c>
      <c r="AC65" s="3" t="n">
        <v>1.219</v>
      </c>
      <c r="AD65" s="3" t="s">
        <v>7</v>
      </c>
    </row>
    <row r="66" customFormat="false" ht="16.5" hidden="false" customHeight="false" outlineLevel="0" collapsed="false">
      <c r="A66" s="4" t="n">
        <v>44440</v>
      </c>
      <c r="B66" s="5" t="n">
        <v>398.15</v>
      </c>
      <c r="C66" s="5" t="n">
        <v>402.65</v>
      </c>
      <c r="D66" s="5" t="n">
        <v>356.85</v>
      </c>
      <c r="E66" s="5" t="n">
        <v>356.85</v>
      </c>
      <c r="F66" s="5" t="n">
        <v>329.1</v>
      </c>
      <c r="G66" s="6" t="n">
        <v>8359949</v>
      </c>
      <c r="L66" s="4" t="n">
        <v>44811</v>
      </c>
      <c r="M66" s="10" t="s">
        <v>14</v>
      </c>
      <c r="N66" s="10"/>
      <c r="O66" s="10"/>
      <c r="P66" s="10"/>
      <c r="Q66" s="10"/>
      <c r="R66" s="10"/>
      <c r="X66" s="4" t="n">
        <v>44287</v>
      </c>
      <c r="Y66" s="5" t="n">
        <v>1.1729</v>
      </c>
      <c r="Z66" s="5" t="n">
        <v>1.2152</v>
      </c>
      <c r="AA66" s="5" t="n">
        <v>1.1715</v>
      </c>
      <c r="AB66" s="5" t="n">
        <v>1.2127</v>
      </c>
      <c r="AC66" s="5" t="n">
        <v>1.2127</v>
      </c>
      <c r="AD66" s="5" t="s">
        <v>7</v>
      </c>
    </row>
    <row r="67" customFormat="false" ht="16.5" hidden="false" customHeight="false" outlineLevel="0" collapsed="false">
      <c r="A67" s="7" t="n">
        <v>44409</v>
      </c>
      <c r="B67" s="3" t="n">
        <v>387.55</v>
      </c>
      <c r="C67" s="3" t="n">
        <v>406.25</v>
      </c>
      <c r="D67" s="3" t="n">
        <v>381.55</v>
      </c>
      <c r="E67" s="3" t="n">
        <v>396.3</v>
      </c>
      <c r="F67" s="3" t="n">
        <v>365.49</v>
      </c>
      <c r="G67" s="8" t="n">
        <v>6331793</v>
      </c>
      <c r="L67" s="7" t="n">
        <v>44805</v>
      </c>
      <c r="M67" s="3" t="n">
        <v>14.21</v>
      </c>
      <c r="N67" s="3" t="n">
        <v>14.55</v>
      </c>
      <c r="O67" s="3" t="n">
        <v>11.95</v>
      </c>
      <c r="P67" s="3" t="n">
        <v>12.14</v>
      </c>
      <c r="Q67" s="3" t="n">
        <v>12.1</v>
      </c>
      <c r="R67" s="8" t="n">
        <v>13130578000</v>
      </c>
      <c r="X67" s="7" t="n">
        <v>44256</v>
      </c>
      <c r="Y67" s="3" t="n">
        <v>1.2091</v>
      </c>
      <c r="Z67" s="3" t="n">
        <v>1.211</v>
      </c>
      <c r="AA67" s="3" t="n">
        <v>1.1705</v>
      </c>
      <c r="AB67" s="3" t="n">
        <v>1.1724</v>
      </c>
      <c r="AC67" s="3" t="n">
        <v>1.1724</v>
      </c>
      <c r="AD67" s="3" t="s">
        <v>7</v>
      </c>
    </row>
    <row r="68" customFormat="false" ht="16.5" hidden="false" customHeight="false" outlineLevel="0" collapsed="false">
      <c r="A68" s="4" t="n">
        <v>44378</v>
      </c>
      <c r="B68" s="5" t="n">
        <v>377.05</v>
      </c>
      <c r="C68" s="5" t="n">
        <v>388.75</v>
      </c>
      <c r="D68" s="5" t="n">
        <v>360.45</v>
      </c>
      <c r="E68" s="5" t="n">
        <v>385.9</v>
      </c>
      <c r="F68" s="5" t="n">
        <v>355.89</v>
      </c>
      <c r="G68" s="6" t="n">
        <v>7578396</v>
      </c>
      <c r="L68" s="4" t="n">
        <v>44774</v>
      </c>
      <c r="M68" s="5" t="n">
        <v>18.18</v>
      </c>
      <c r="N68" s="5" t="n">
        <v>19.27</v>
      </c>
      <c r="O68" s="5" t="n">
        <v>14.96</v>
      </c>
      <c r="P68" s="5" t="n">
        <v>15.09</v>
      </c>
      <c r="Q68" s="5" t="n">
        <v>15.04</v>
      </c>
      <c r="R68" s="6" t="n">
        <v>12069648000</v>
      </c>
      <c r="X68" s="4" t="n">
        <v>44228</v>
      </c>
      <c r="Y68" s="5" t="n">
        <v>1.2123</v>
      </c>
      <c r="Z68" s="5" t="n">
        <v>1.2242</v>
      </c>
      <c r="AA68" s="5" t="n">
        <v>1.1954</v>
      </c>
      <c r="AB68" s="5" t="n">
        <v>1.2074</v>
      </c>
      <c r="AC68" s="5" t="n">
        <v>1.2074</v>
      </c>
      <c r="AD68" s="5" t="s">
        <v>7</v>
      </c>
    </row>
    <row r="69" customFormat="false" ht="16.5" hidden="false" customHeight="false" outlineLevel="0" collapsed="false">
      <c r="A69" s="7" t="n">
        <v>44348</v>
      </c>
      <c r="B69" s="3" t="n">
        <v>369.2</v>
      </c>
      <c r="C69" s="3" t="n">
        <v>395.95</v>
      </c>
      <c r="D69" s="3" t="n">
        <v>367</v>
      </c>
      <c r="E69" s="3" t="n">
        <v>375.8</v>
      </c>
      <c r="F69" s="3" t="n">
        <v>346.58</v>
      </c>
      <c r="G69" s="8" t="n">
        <v>8720877</v>
      </c>
      <c r="L69" s="7" t="n">
        <v>44743</v>
      </c>
      <c r="M69" s="3" t="n">
        <v>14.9</v>
      </c>
      <c r="N69" s="3" t="n">
        <v>18.24</v>
      </c>
      <c r="O69" s="3" t="n">
        <v>14.06</v>
      </c>
      <c r="P69" s="3" t="n">
        <v>18.16</v>
      </c>
      <c r="Q69" s="3" t="n">
        <v>18.09</v>
      </c>
      <c r="R69" s="8" t="n">
        <v>10564476000</v>
      </c>
      <c r="X69" s="7" t="n">
        <v>44197</v>
      </c>
      <c r="Y69" s="3" t="n">
        <v>1.2173</v>
      </c>
      <c r="Z69" s="3" t="n">
        <v>1.235</v>
      </c>
      <c r="AA69" s="3" t="n">
        <v>1.2055</v>
      </c>
      <c r="AB69" s="3" t="n">
        <v>1.2139</v>
      </c>
      <c r="AC69" s="3" t="n">
        <v>1.2139</v>
      </c>
      <c r="AD69" s="3" t="s">
        <v>7</v>
      </c>
    </row>
    <row r="70" customFormat="false" ht="16.5" hidden="false" customHeight="false" outlineLevel="0" collapsed="false">
      <c r="A70" s="4" t="n">
        <v>44317</v>
      </c>
      <c r="B70" s="5" t="n">
        <v>341.85</v>
      </c>
      <c r="C70" s="5" t="n">
        <v>372.4</v>
      </c>
      <c r="D70" s="5" t="n">
        <v>340.7</v>
      </c>
      <c r="E70" s="5" t="n">
        <v>368.3</v>
      </c>
      <c r="F70" s="5" t="n">
        <v>339.66</v>
      </c>
      <c r="G70" s="6" t="n">
        <v>7239004</v>
      </c>
      <c r="L70" s="4" t="n">
        <v>44720</v>
      </c>
      <c r="M70" s="10" t="s">
        <v>14</v>
      </c>
      <c r="N70" s="10"/>
      <c r="O70" s="10"/>
      <c r="P70" s="10"/>
      <c r="Q70" s="10"/>
      <c r="R70" s="10"/>
      <c r="X70" s="4" t="n">
        <v>44166</v>
      </c>
      <c r="Y70" s="5" t="n">
        <v>1.1938</v>
      </c>
      <c r="Z70" s="5" t="n">
        <v>1.231</v>
      </c>
      <c r="AA70" s="5" t="n">
        <v>1.1936</v>
      </c>
      <c r="AB70" s="5" t="n">
        <v>1.23</v>
      </c>
      <c r="AC70" s="5" t="n">
        <v>1.23</v>
      </c>
      <c r="AD70" s="5" t="s">
        <v>7</v>
      </c>
    </row>
    <row r="71" customFormat="false" ht="16.5" hidden="false" customHeight="false" outlineLevel="0" collapsed="false">
      <c r="A71" s="7" t="n">
        <v>44313</v>
      </c>
      <c r="B71" s="9" t="s">
        <v>17</v>
      </c>
      <c r="C71" s="9"/>
      <c r="D71" s="9"/>
      <c r="E71" s="9"/>
      <c r="F71" s="9"/>
      <c r="G71" s="9"/>
      <c r="L71" s="7" t="n">
        <v>44713</v>
      </c>
      <c r="M71" s="3" t="n">
        <v>18.72</v>
      </c>
      <c r="N71" s="3" t="n">
        <v>19.62</v>
      </c>
      <c r="O71" s="3" t="n">
        <v>14.86</v>
      </c>
      <c r="P71" s="3" t="n">
        <v>15.16</v>
      </c>
      <c r="Q71" s="3" t="n">
        <v>15.1</v>
      </c>
      <c r="R71" s="8" t="n">
        <v>10554791000</v>
      </c>
      <c r="X71" s="7" t="n">
        <v>44136</v>
      </c>
      <c r="Y71" s="3" t="n">
        <v>1.1679</v>
      </c>
      <c r="Z71" s="3" t="n">
        <v>1.2002</v>
      </c>
      <c r="AA71" s="3" t="n">
        <v>1.1608</v>
      </c>
      <c r="AB71" s="3" t="n">
        <v>1.1971</v>
      </c>
      <c r="AC71" s="3" t="n">
        <v>1.1971</v>
      </c>
      <c r="AD71" s="3" t="s">
        <v>7</v>
      </c>
    </row>
    <row r="72" customFormat="false" ht="16.5" hidden="false" customHeight="false" outlineLevel="0" collapsed="false">
      <c r="A72" s="4" t="n">
        <v>44287</v>
      </c>
      <c r="B72" s="5" t="n">
        <v>328.6</v>
      </c>
      <c r="C72" s="5" t="n">
        <v>350.65</v>
      </c>
      <c r="D72" s="5" t="n">
        <v>322.45</v>
      </c>
      <c r="E72" s="5" t="n">
        <v>341.65</v>
      </c>
      <c r="F72" s="5" t="n">
        <v>315.09</v>
      </c>
      <c r="G72" s="6" t="n">
        <v>7134106</v>
      </c>
      <c r="L72" s="4" t="n">
        <v>44682</v>
      </c>
      <c r="M72" s="5" t="n">
        <v>18.54</v>
      </c>
      <c r="N72" s="5" t="n">
        <v>20.4</v>
      </c>
      <c r="O72" s="5" t="n">
        <v>15.57</v>
      </c>
      <c r="P72" s="5" t="n">
        <v>18.67</v>
      </c>
      <c r="Q72" s="5" t="n">
        <v>18.6</v>
      </c>
      <c r="R72" s="6" t="n">
        <v>13833021000</v>
      </c>
      <c r="X72" s="4" t="n">
        <v>44105</v>
      </c>
      <c r="Y72" s="5" t="n">
        <v>1.1724</v>
      </c>
      <c r="Z72" s="5" t="n">
        <v>1.1882</v>
      </c>
      <c r="AA72" s="5" t="n">
        <v>1.1643</v>
      </c>
      <c r="AB72" s="5" t="n">
        <v>1.1677</v>
      </c>
      <c r="AC72" s="5" t="n">
        <v>1.1677</v>
      </c>
      <c r="AD72" s="5" t="s">
        <v>7</v>
      </c>
    </row>
    <row r="73" customFormat="false" ht="16.5" hidden="false" customHeight="false" outlineLevel="0" collapsed="false">
      <c r="A73" s="7" t="n">
        <v>44256</v>
      </c>
      <c r="B73" s="3" t="n">
        <v>306.1</v>
      </c>
      <c r="C73" s="3" t="n">
        <v>329.1</v>
      </c>
      <c r="D73" s="3" t="n">
        <v>304</v>
      </c>
      <c r="E73" s="3" t="n">
        <v>326.8</v>
      </c>
      <c r="F73" s="3" t="n">
        <v>297.87</v>
      </c>
      <c r="G73" s="8" t="n">
        <v>9104519</v>
      </c>
      <c r="L73" s="7" t="n">
        <v>44652</v>
      </c>
      <c r="M73" s="3" t="n">
        <v>27.38</v>
      </c>
      <c r="N73" s="3" t="n">
        <v>27.56</v>
      </c>
      <c r="O73" s="3" t="n">
        <v>18.29</v>
      </c>
      <c r="P73" s="3" t="n">
        <v>18.55</v>
      </c>
      <c r="Q73" s="3" t="n">
        <v>18.47</v>
      </c>
      <c r="R73" s="8" t="n">
        <v>11114390000</v>
      </c>
      <c r="X73" s="7" t="n">
        <v>44075</v>
      </c>
      <c r="Y73" s="3" t="n">
        <v>1.1939</v>
      </c>
      <c r="Z73" s="3" t="n">
        <v>1.2011</v>
      </c>
      <c r="AA73" s="3" t="n">
        <v>1.1613</v>
      </c>
      <c r="AB73" s="3" t="n">
        <v>1.1742</v>
      </c>
      <c r="AC73" s="3" t="n">
        <v>1.1742</v>
      </c>
      <c r="AD73" s="3" t="s">
        <v>7</v>
      </c>
    </row>
    <row r="74" customFormat="false" ht="16.5" hidden="false" customHeight="false" outlineLevel="0" collapsed="false">
      <c r="A74" s="4" t="n">
        <v>44228</v>
      </c>
      <c r="B74" s="5" t="n">
        <v>293.3</v>
      </c>
      <c r="C74" s="5" t="n">
        <v>320</v>
      </c>
      <c r="D74" s="5" t="n">
        <v>292.4</v>
      </c>
      <c r="E74" s="5" t="n">
        <v>302.8</v>
      </c>
      <c r="F74" s="5" t="n">
        <v>276</v>
      </c>
      <c r="G74" s="6" t="n">
        <v>8219536</v>
      </c>
      <c r="L74" s="4" t="n">
        <v>44622</v>
      </c>
      <c r="M74" s="10" t="s">
        <v>14</v>
      </c>
      <c r="N74" s="10"/>
      <c r="O74" s="10"/>
      <c r="P74" s="10"/>
      <c r="Q74" s="10"/>
      <c r="R74" s="10"/>
      <c r="X74" s="4" t="n">
        <v>44044</v>
      </c>
      <c r="Y74" s="5" t="n">
        <v>1.178</v>
      </c>
      <c r="Z74" s="5" t="n">
        <v>1.1965</v>
      </c>
      <c r="AA74" s="5" t="n">
        <v>1.1701</v>
      </c>
      <c r="AB74" s="5" t="n">
        <v>1.1918</v>
      </c>
      <c r="AC74" s="5" t="n">
        <v>1.1918</v>
      </c>
      <c r="AD74" s="5" t="s">
        <v>7</v>
      </c>
    </row>
    <row r="75" customFormat="false" ht="16.5" hidden="false" customHeight="false" outlineLevel="0" collapsed="false">
      <c r="A75" s="7" t="n">
        <v>44197</v>
      </c>
      <c r="B75" s="3" t="n">
        <v>310.8</v>
      </c>
      <c r="C75" s="3" t="n">
        <v>316.1</v>
      </c>
      <c r="D75" s="3" t="n">
        <v>290.1</v>
      </c>
      <c r="E75" s="3" t="n">
        <v>290.1</v>
      </c>
      <c r="F75" s="3" t="n">
        <v>264.42</v>
      </c>
      <c r="G75" s="8" t="n">
        <v>7810448</v>
      </c>
      <c r="L75" s="7" t="n">
        <v>44621</v>
      </c>
      <c r="M75" s="3" t="n">
        <v>24.29</v>
      </c>
      <c r="N75" s="3" t="n">
        <v>28.95</v>
      </c>
      <c r="O75" s="3" t="n">
        <v>20.65</v>
      </c>
      <c r="P75" s="3" t="n">
        <v>27.29</v>
      </c>
      <c r="Q75" s="3" t="n">
        <v>27.17</v>
      </c>
      <c r="R75" s="8" t="n">
        <v>11644599000</v>
      </c>
      <c r="X75" s="7" t="n">
        <v>44013</v>
      </c>
      <c r="Y75" s="3" t="n">
        <v>1.1234</v>
      </c>
      <c r="Z75" s="3" t="n">
        <v>1.1908</v>
      </c>
      <c r="AA75" s="3" t="n">
        <v>1.1189</v>
      </c>
      <c r="AB75" s="3" t="n">
        <v>1.1872</v>
      </c>
      <c r="AC75" s="3" t="n">
        <v>1.1872</v>
      </c>
      <c r="AD75" s="3" t="s">
        <v>7</v>
      </c>
    </row>
    <row r="76" customFormat="false" ht="16.5" hidden="false" customHeight="false" outlineLevel="0" collapsed="false">
      <c r="A76" s="4" t="n">
        <v>44166</v>
      </c>
      <c r="B76" s="5" t="n">
        <v>309.2</v>
      </c>
      <c r="C76" s="5" t="n">
        <v>314.1</v>
      </c>
      <c r="D76" s="5" t="n">
        <v>294.2</v>
      </c>
      <c r="E76" s="5" t="n">
        <v>310.8</v>
      </c>
      <c r="F76" s="5" t="n">
        <v>283.29</v>
      </c>
      <c r="G76" s="6" t="n">
        <v>8283069</v>
      </c>
      <c r="L76" s="4" t="n">
        <v>44593</v>
      </c>
      <c r="M76" s="5" t="n">
        <v>25.1</v>
      </c>
      <c r="N76" s="5" t="n">
        <v>26.92</v>
      </c>
      <c r="O76" s="5" t="n">
        <v>20.89</v>
      </c>
      <c r="P76" s="5" t="n">
        <v>24.39</v>
      </c>
      <c r="Q76" s="5" t="n">
        <v>24.28</v>
      </c>
      <c r="R76" s="6" t="n">
        <v>10644270000</v>
      </c>
      <c r="X76" s="4" t="n">
        <v>43983</v>
      </c>
      <c r="Y76" s="5" t="n">
        <v>1.1115</v>
      </c>
      <c r="Z76" s="5" t="n">
        <v>1.14</v>
      </c>
      <c r="AA76" s="5" t="n">
        <v>1.1101</v>
      </c>
      <c r="AB76" s="5" t="n">
        <v>1.1247</v>
      </c>
      <c r="AC76" s="5" t="n">
        <v>1.1247</v>
      </c>
      <c r="AD76" s="5" t="s">
        <v>7</v>
      </c>
    </row>
    <row r="77" customFormat="false" ht="16.5" hidden="false" customHeight="false" outlineLevel="0" collapsed="false">
      <c r="A77" s="7" t="n">
        <v>44136</v>
      </c>
      <c r="B77" s="3" t="n">
        <v>279.3</v>
      </c>
      <c r="C77" s="3" t="n">
        <v>321.4</v>
      </c>
      <c r="D77" s="3" t="n">
        <v>276.8</v>
      </c>
      <c r="E77" s="3" t="n">
        <v>306.8</v>
      </c>
      <c r="F77" s="3" t="n">
        <v>279.64</v>
      </c>
      <c r="G77" s="8" t="n">
        <v>12101110</v>
      </c>
      <c r="L77" s="7" t="n">
        <v>44562</v>
      </c>
      <c r="M77" s="3" t="n">
        <v>29.82</v>
      </c>
      <c r="N77" s="3" t="n">
        <v>30.71</v>
      </c>
      <c r="O77" s="3" t="n">
        <v>20.89</v>
      </c>
      <c r="P77" s="3" t="n">
        <v>24.49</v>
      </c>
      <c r="Q77" s="3" t="n">
        <v>24.38</v>
      </c>
      <c r="R77" s="8" t="n">
        <v>10682164000</v>
      </c>
      <c r="X77" s="7" t="n">
        <v>43952</v>
      </c>
      <c r="Y77" s="3" t="n">
        <v>1.0945</v>
      </c>
      <c r="Z77" s="3" t="n">
        <v>1.1145</v>
      </c>
      <c r="AA77" s="3" t="n">
        <v>1.0768</v>
      </c>
      <c r="AB77" s="3" t="n">
        <v>1.111</v>
      </c>
      <c r="AC77" s="3" t="n">
        <v>1.111</v>
      </c>
      <c r="AD77" s="3" t="s">
        <v>7</v>
      </c>
    </row>
    <row r="78" customFormat="false" ht="16.5" hidden="false" customHeight="false" outlineLevel="0" collapsed="false">
      <c r="A78" s="4" t="n">
        <v>44105</v>
      </c>
      <c r="B78" s="5" t="n">
        <v>280</v>
      </c>
      <c r="C78" s="5" t="n">
        <v>295</v>
      </c>
      <c r="D78" s="5" t="n">
        <v>275.1</v>
      </c>
      <c r="E78" s="5" t="n">
        <v>277.7</v>
      </c>
      <c r="F78" s="5" t="n">
        <v>253.12</v>
      </c>
      <c r="G78" s="6" t="n">
        <v>9314505</v>
      </c>
      <c r="L78" s="4" t="n">
        <v>44531</v>
      </c>
      <c r="M78" s="10" t="s">
        <v>14</v>
      </c>
      <c r="N78" s="10"/>
      <c r="O78" s="10"/>
      <c r="P78" s="10"/>
      <c r="Q78" s="10"/>
      <c r="R78" s="10"/>
      <c r="X78" s="4" t="n">
        <v>43922</v>
      </c>
      <c r="Y78" s="5" t="n">
        <v>1.1028</v>
      </c>
      <c r="Z78" s="5" t="n">
        <v>1.1038</v>
      </c>
      <c r="AA78" s="5" t="n">
        <v>1.0728</v>
      </c>
      <c r="AB78" s="5" t="n">
        <v>1.0877</v>
      </c>
      <c r="AC78" s="5" t="n">
        <v>1.0877</v>
      </c>
      <c r="AD78" s="5" t="s">
        <v>7</v>
      </c>
    </row>
    <row r="79" customFormat="false" ht="16.5" hidden="false" customHeight="false" outlineLevel="0" collapsed="false">
      <c r="A79" s="7" t="n">
        <v>44075</v>
      </c>
      <c r="B79" s="3" t="n">
        <v>277.9</v>
      </c>
      <c r="C79" s="3" t="n">
        <v>285.4</v>
      </c>
      <c r="D79" s="3" t="n">
        <v>269.3</v>
      </c>
      <c r="E79" s="3" t="n">
        <v>277.6</v>
      </c>
      <c r="F79" s="3" t="n">
        <v>253.03</v>
      </c>
      <c r="G79" s="8" t="n">
        <v>9992678</v>
      </c>
      <c r="L79" s="7" t="n">
        <v>44531</v>
      </c>
      <c r="M79" s="3" t="n">
        <v>33.22</v>
      </c>
      <c r="N79" s="3" t="n">
        <v>33.29</v>
      </c>
      <c r="O79" s="3" t="n">
        <v>27.15</v>
      </c>
      <c r="P79" s="3" t="n">
        <v>29.41</v>
      </c>
      <c r="Q79" s="3" t="n">
        <v>29.29</v>
      </c>
      <c r="R79" s="8" t="n">
        <v>11058505000</v>
      </c>
      <c r="X79" s="7" t="n">
        <v>43891</v>
      </c>
      <c r="Y79" s="3" t="n">
        <v>1.1028</v>
      </c>
      <c r="Z79" s="3" t="n">
        <v>1.1496</v>
      </c>
      <c r="AA79" s="3" t="n">
        <v>1.0655</v>
      </c>
      <c r="AB79" s="3" t="n">
        <v>1.103</v>
      </c>
      <c r="AC79" s="3" t="n">
        <v>1.103</v>
      </c>
      <c r="AD79" s="3" t="s">
        <v>7</v>
      </c>
    </row>
    <row r="80" customFormat="false" ht="16.5" hidden="false" customHeight="false" outlineLevel="0" collapsed="false">
      <c r="A80" s="4" t="n">
        <v>44044</v>
      </c>
      <c r="B80" s="5" t="n">
        <v>283</v>
      </c>
      <c r="C80" s="5" t="n">
        <v>286.5</v>
      </c>
      <c r="D80" s="5" t="n">
        <v>272.3</v>
      </c>
      <c r="E80" s="5" t="n">
        <v>276.9</v>
      </c>
      <c r="F80" s="5" t="n">
        <v>252.39</v>
      </c>
      <c r="G80" s="6" t="n">
        <v>8511905</v>
      </c>
      <c r="L80" s="4" t="n">
        <v>44501</v>
      </c>
      <c r="M80" s="5" t="n">
        <v>25.65</v>
      </c>
      <c r="N80" s="5" t="n">
        <v>34.65</v>
      </c>
      <c r="O80" s="5" t="n">
        <v>25.23</v>
      </c>
      <c r="P80" s="5" t="n">
        <v>32.68</v>
      </c>
      <c r="Q80" s="5" t="n">
        <v>32.53</v>
      </c>
      <c r="R80" s="6" t="n">
        <v>10811170000</v>
      </c>
      <c r="X80" s="4" t="n">
        <v>43862</v>
      </c>
      <c r="Y80" s="5" t="n">
        <v>1.1096</v>
      </c>
      <c r="Z80" s="5" t="n">
        <v>1.1096</v>
      </c>
      <c r="AA80" s="5" t="n">
        <v>1.078</v>
      </c>
      <c r="AB80" s="5" t="n">
        <v>1.103</v>
      </c>
      <c r="AC80" s="5" t="n">
        <v>1.103</v>
      </c>
      <c r="AD80" s="5" t="s">
        <v>7</v>
      </c>
    </row>
    <row r="81" customFormat="false" ht="16.5" hidden="false" customHeight="false" outlineLevel="0" collapsed="false">
      <c r="A81" s="7" t="n">
        <v>44015</v>
      </c>
      <c r="B81" s="9" t="s">
        <v>18</v>
      </c>
      <c r="C81" s="9"/>
      <c r="D81" s="9"/>
      <c r="E81" s="9"/>
      <c r="F81" s="9"/>
      <c r="G81" s="9"/>
      <c r="L81" s="7" t="n">
        <v>44470</v>
      </c>
      <c r="M81" s="3" t="n">
        <v>20.75</v>
      </c>
      <c r="N81" s="3" t="n">
        <v>25.71</v>
      </c>
      <c r="O81" s="3" t="n">
        <v>19.56</v>
      </c>
      <c r="P81" s="3" t="n">
        <v>25.57</v>
      </c>
      <c r="Q81" s="3" t="n">
        <v>25.45</v>
      </c>
      <c r="R81" s="8" t="n">
        <v>4971078000</v>
      </c>
      <c r="X81" s="7" t="n">
        <v>43831</v>
      </c>
      <c r="Y81" s="3" t="n">
        <v>1.1221</v>
      </c>
      <c r="Z81" s="3" t="n">
        <v>1.1228</v>
      </c>
      <c r="AA81" s="3" t="n">
        <v>1.0993</v>
      </c>
      <c r="AB81" s="3" t="n">
        <v>1.1029</v>
      </c>
      <c r="AC81" s="3" t="n">
        <v>1.1029</v>
      </c>
      <c r="AD81" s="3" t="s">
        <v>7</v>
      </c>
    </row>
    <row r="82" customFormat="false" ht="16.5" hidden="false" customHeight="false" outlineLevel="0" collapsed="false">
      <c r="A82" s="4" t="n">
        <v>44013</v>
      </c>
      <c r="B82" s="5" t="n">
        <v>285.1</v>
      </c>
      <c r="C82" s="5" t="n">
        <v>297.2</v>
      </c>
      <c r="D82" s="5" t="n">
        <v>279.5</v>
      </c>
      <c r="E82" s="5" t="n">
        <v>283</v>
      </c>
      <c r="F82" s="5" t="n">
        <v>257.95</v>
      </c>
      <c r="G82" s="6" t="n">
        <v>11011765</v>
      </c>
      <c r="L82" s="4" t="n">
        <v>44440</v>
      </c>
      <c r="M82" s="5" t="n">
        <v>22.49</v>
      </c>
      <c r="N82" s="5" t="n">
        <v>22.99</v>
      </c>
      <c r="O82" s="5" t="n">
        <v>20.47</v>
      </c>
      <c r="P82" s="5" t="n">
        <v>20.72</v>
      </c>
      <c r="Q82" s="5" t="n">
        <v>20.63</v>
      </c>
      <c r="R82" s="6" t="n">
        <v>4998986000</v>
      </c>
      <c r="X82" s="4" t="n">
        <v>43800</v>
      </c>
      <c r="Y82" s="5" t="n">
        <v>1.1019</v>
      </c>
      <c r="Z82" s="5" t="n">
        <v>1.1241</v>
      </c>
      <c r="AA82" s="5" t="n">
        <v>1.1004</v>
      </c>
      <c r="AB82" s="5" t="n">
        <v>1.1202</v>
      </c>
      <c r="AC82" s="5" t="n">
        <v>1.1202</v>
      </c>
      <c r="AD82" s="5" t="s">
        <v>7</v>
      </c>
    </row>
    <row r="83" customFormat="false" ht="16.5" hidden="false" customHeight="false" outlineLevel="0" collapsed="false">
      <c r="A83" s="7" t="n">
        <v>43983</v>
      </c>
      <c r="B83" s="3" t="n">
        <v>264</v>
      </c>
      <c r="C83" s="3" t="n">
        <v>287.6</v>
      </c>
      <c r="D83" s="3" t="n">
        <v>255.1</v>
      </c>
      <c r="E83" s="3" t="n">
        <v>285.7</v>
      </c>
      <c r="F83" s="3" t="n">
        <v>257.03</v>
      </c>
      <c r="G83" s="8" t="n">
        <v>13429013</v>
      </c>
      <c r="L83" s="7" t="n">
        <v>44439</v>
      </c>
      <c r="M83" s="9" t="s">
        <v>14</v>
      </c>
      <c r="N83" s="9"/>
      <c r="O83" s="9"/>
      <c r="P83" s="9"/>
      <c r="Q83" s="9"/>
      <c r="R83" s="9"/>
      <c r="X83" s="7" t="n">
        <v>43770</v>
      </c>
      <c r="Y83" s="3" t="n">
        <v>1.1156</v>
      </c>
      <c r="Z83" s="3" t="n">
        <v>1.1194</v>
      </c>
      <c r="AA83" s="3" t="n">
        <v>1.0983</v>
      </c>
      <c r="AB83" s="3" t="n">
        <v>1.102</v>
      </c>
      <c r="AC83" s="3" t="n">
        <v>1.102</v>
      </c>
      <c r="AD83" s="3" t="s">
        <v>7</v>
      </c>
    </row>
    <row r="84" customFormat="false" ht="16.5" hidden="false" customHeight="false" outlineLevel="0" collapsed="false">
      <c r="A84" s="4" t="n">
        <v>43952</v>
      </c>
      <c r="B84" s="5" t="n">
        <v>265.3</v>
      </c>
      <c r="C84" s="5" t="n">
        <v>265.3</v>
      </c>
      <c r="D84" s="5" t="n">
        <v>239.1</v>
      </c>
      <c r="E84" s="5" t="n">
        <v>261.9</v>
      </c>
      <c r="F84" s="5" t="n">
        <v>235.62</v>
      </c>
      <c r="G84" s="6" t="n">
        <v>10454268</v>
      </c>
      <c r="L84" s="4" t="n">
        <v>44409</v>
      </c>
      <c r="M84" s="5" t="n">
        <v>19.7</v>
      </c>
      <c r="N84" s="5" t="n">
        <v>23.04</v>
      </c>
      <c r="O84" s="5" t="n">
        <v>18.76</v>
      </c>
      <c r="P84" s="5" t="n">
        <v>22.39</v>
      </c>
      <c r="Q84" s="5" t="n">
        <v>22.29</v>
      </c>
      <c r="R84" s="6" t="n">
        <v>6416386000</v>
      </c>
      <c r="X84" s="4" t="n">
        <v>43739</v>
      </c>
      <c r="Y84" s="5" t="n">
        <v>1.0899</v>
      </c>
      <c r="Z84" s="5" t="n">
        <v>1.1181</v>
      </c>
      <c r="AA84" s="5" t="n">
        <v>1.0882</v>
      </c>
      <c r="AB84" s="5" t="n">
        <v>1.1154</v>
      </c>
      <c r="AC84" s="5" t="n">
        <v>1.1154</v>
      </c>
      <c r="AD84" s="5" t="s">
        <v>7</v>
      </c>
    </row>
    <row r="85" customFormat="false" ht="16.5" hidden="false" customHeight="false" outlineLevel="0" collapsed="false">
      <c r="A85" s="7" t="n">
        <v>43922</v>
      </c>
      <c r="B85" s="3" t="n">
        <v>232.8</v>
      </c>
      <c r="C85" s="3" t="n">
        <v>265.3</v>
      </c>
      <c r="D85" s="3" t="n">
        <v>229</v>
      </c>
      <c r="E85" s="3" t="n">
        <v>265.3</v>
      </c>
      <c r="F85" s="3" t="n">
        <v>238.68</v>
      </c>
      <c r="G85" s="8" t="n">
        <v>11892375</v>
      </c>
      <c r="L85" s="7" t="n">
        <v>44397</v>
      </c>
      <c r="M85" s="9" t="s">
        <v>19</v>
      </c>
      <c r="N85" s="9"/>
      <c r="O85" s="9"/>
      <c r="P85" s="9"/>
      <c r="Q85" s="9"/>
      <c r="R85" s="9"/>
      <c r="X85" s="7" t="n">
        <v>43709</v>
      </c>
      <c r="Y85" s="3" t="n">
        <v>1.1012</v>
      </c>
      <c r="Z85" s="3" t="n">
        <v>1.1158</v>
      </c>
      <c r="AA85" s="3" t="n">
        <v>1.0888</v>
      </c>
      <c r="AB85" s="3" t="n">
        <v>1.0943</v>
      </c>
      <c r="AC85" s="3" t="n">
        <v>1.0943</v>
      </c>
      <c r="AD85" s="3" t="s">
        <v>7</v>
      </c>
    </row>
    <row r="86" customFormat="false" ht="16.5" hidden="false" customHeight="false" outlineLevel="0" collapsed="false">
      <c r="A86" s="4" t="n">
        <v>43891</v>
      </c>
      <c r="B86" s="5" t="n">
        <v>246.2</v>
      </c>
      <c r="C86" s="5" t="n">
        <v>263.1</v>
      </c>
      <c r="D86" s="5" t="n">
        <v>196</v>
      </c>
      <c r="E86" s="5" t="n">
        <v>238.9</v>
      </c>
      <c r="F86" s="5" t="n">
        <v>214.93</v>
      </c>
      <c r="G86" s="6" t="n">
        <v>29121450</v>
      </c>
      <c r="L86" s="4" t="n">
        <v>44378</v>
      </c>
      <c r="M86" s="5" t="n">
        <v>20.13</v>
      </c>
      <c r="N86" s="5" t="n">
        <v>20.88</v>
      </c>
      <c r="O86" s="5" t="n">
        <v>17.87</v>
      </c>
      <c r="P86" s="5" t="n">
        <v>19.5</v>
      </c>
      <c r="Q86" s="5" t="n">
        <v>19.41</v>
      </c>
      <c r="R86" s="6" t="n">
        <v>7823077000</v>
      </c>
      <c r="X86" s="4" t="n">
        <v>43678</v>
      </c>
      <c r="Y86" s="5" t="n">
        <v>1.1072</v>
      </c>
      <c r="Z86" s="5" t="n">
        <v>1.1313</v>
      </c>
      <c r="AA86" s="5" t="n">
        <v>1.0987</v>
      </c>
      <c r="AB86" s="5" t="n">
        <v>1.1012</v>
      </c>
      <c r="AC86" s="5" t="n">
        <v>1.1012</v>
      </c>
      <c r="AD86" s="5" t="s">
        <v>7</v>
      </c>
    </row>
    <row r="87" customFormat="false" ht="16.5" hidden="false" customHeight="false" outlineLevel="0" collapsed="false">
      <c r="A87" s="7" t="n">
        <v>43862</v>
      </c>
      <c r="B87" s="3" t="n">
        <v>252.3</v>
      </c>
      <c r="C87" s="3" t="n">
        <v>278.5</v>
      </c>
      <c r="D87" s="3" t="n">
        <v>235.2</v>
      </c>
      <c r="E87" s="3" t="n">
        <v>241</v>
      </c>
      <c r="F87" s="3" t="n">
        <v>216.82</v>
      </c>
      <c r="G87" s="8" t="n">
        <v>13399487</v>
      </c>
      <c r="L87" s="7" t="n">
        <v>44356</v>
      </c>
      <c r="M87" s="9" t="s">
        <v>14</v>
      </c>
      <c r="N87" s="9"/>
      <c r="O87" s="9"/>
      <c r="P87" s="9"/>
      <c r="Q87" s="9"/>
      <c r="R87" s="9"/>
      <c r="X87" s="7" t="n">
        <v>43647</v>
      </c>
      <c r="Y87" s="3" t="n">
        <v>1.1364</v>
      </c>
      <c r="Z87" s="3" t="n">
        <v>1.1368</v>
      </c>
      <c r="AA87" s="3" t="n">
        <v>1.1104</v>
      </c>
      <c r="AB87" s="3" t="n">
        <v>1.1158</v>
      </c>
      <c r="AC87" s="3" t="n">
        <v>1.1158</v>
      </c>
      <c r="AD87" s="3" t="s">
        <v>7</v>
      </c>
    </row>
    <row r="88" customFormat="false" ht="16.5" hidden="false" customHeight="false" outlineLevel="0" collapsed="false">
      <c r="A88" s="4" t="n">
        <v>43831</v>
      </c>
      <c r="B88" s="5" t="n">
        <v>264</v>
      </c>
      <c r="C88" s="5" t="n">
        <v>276.2</v>
      </c>
      <c r="D88" s="5" t="n">
        <v>251.9</v>
      </c>
      <c r="E88" s="5" t="n">
        <v>251.9</v>
      </c>
      <c r="F88" s="5" t="n">
        <v>226.62</v>
      </c>
      <c r="G88" s="6" t="n">
        <v>10036787</v>
      </c>
      <c r="L88" s="4" t="n">
        <v>44348</v>
      </c>
      <c r="M88" s="5" t="n">
        <v>16.27</v>
      </c>
      <c r="N88" s="5" t="n">
        <v>20.16</v>
      </c>
      <c r="O88" s="5" t="n">
        <v>15.9</v>
      </c>
      <c r="P88" s="5" t="n">
        <v>20</v>
      </c>
      <c r="Q88" s="5" t="n">
        <v>19.91</v>
      </c>
      <c r="R88" s="6" t="n">
        <v>10273292000</v>
      </c>
      <c r="X88" s="4" t="n">
        <v>43617</v>
      </c>
      <c r="Y88" s="5" t="n">
        <v>1.12</v>
      </c>
      <c r="Z88" s="5" t="n">
        <v>1.1414</v>
      </c>
      <c r="AA88" s="5" t="n">
        <v>1.1162</v>
      </c>
      <c r="AB88" s="5" t="n">
        <v>1.1391</v>
      </c>
      <c r="AC88" s="5" t="n">
        <v>1.1391</v>
      </c>
      <c r="AD88" s="5" t="s">
        <v>7</v>
      </c>
    </row>
    <row r="89" customFormat="false" ht="16.5" hidden="false" customHeight="false" outlineLevel="0" collapsed="false">
      <c r="A89" s="7" t="n">
        <v>43800</v>
      </c>
      <c r="B89" s="3" t="n">
        <v>257.9</v>
      </c>
      <c r="C89" s="3" t="n">
        <v>267.6</v>
      </c>
      <c r="D89" s="3" t="n">
        <v>248.3</v>
      </c>
      <c r="E89" s="3" t="n">
        <v>264</v>
      </c>
      <c r="F89" s="3" t="n">
        <v>237.51</v>
      </c>
      <c r="G89" s="8" t="n">
        <v>8352447</v>
      </c>
      <c r="L89" s="7" t="n">
        <v>44317</v>
      </c>
      <c r="M89" s="3" t="n">
        <v>15.13</v>
      </c>
      <c r="N89" s="3" t="n">
        <v>16.28</v>
      </c>
      <c r="O89" s="3" t="n">
        <v>13.46</v>
      </c>
      <c r="P89" s="3" t="n">
        <v>16.24</v>
      </c>
      <c r="Q89" s="3" t="n">
        <v>16.17</v>
      </c>
      <c r="R89" s="8" t="n">
        <v>7054380000</v>
      </c>
      <c r="X89" s="7" t="n">
        <v>43586</v>
      </c>
      <c r="Y89" s="3" t="n">
        <v>1.1218</v>
      </c>
      <c r="Z89" s="3" t="n">
        <v>1.1263</v>
      </c>
      <c r="AA89" s="3" t="n">
        <v>1.111</v>
      </c>
      <c r="AB89" s="3" t="n">
        <v>1.1131</v>
      </c>
      <c r="AC89" s="3" t="n">
        <v>1.1131</v>
      </c>
      <c r="AD89" s="3" t="s">
        <v>7</v>
      </c>
    </row>
    <row r="90" customFormat="false" ht="16.5" hidden="false" customHeight="false" outlineLevel="0" collapsed="false">
      <c r="A90" s="4" t="n">
        <v>43770</v>
      </c>
      <c r="B90" s="5" t="n">
        <v>262.2</v>
      </c>
      <c r="C90" s="5" t="n">
        <v>265.5</v>
      </c>
      <c r="D90" s="5" t="n">
        <v>254</v>
      </c>
      <c r="E90" s="5" t="n">
        <v>258.7</v>
      </c>
      <c r="F90" s="5" t="n">
        <v>232.74</v>
      </c>
      <c r="G90" s="6" t="n">
        <v>7788743</v>
      </c>
      <c r="L90" s="4" t="n">
        <v>44287</v>
      </c>
      <c r="M90" s="5" t="n">
        <v>13.57</v>
      </c>
      <c r="N90" s="5" t="n">
        <v>16.21</v>
      </c>
      <c r="O90" s="5" t="n">
        <v>13.51</v>
      </c>
      <c r="P90" s="5" t="n">
        <v>15.01</v>
      </c>
      <c r="Q90" s="5" t="n">
        <v>14.94</v>
      </c>
      <c r="R90" s="6" t="n">
        <v>6718796000</v>
      </c>
      <c r="X90" s="4" t="n">
        <v>43556</v>
      </c>
      <c r="Y90" s="5" t="n">
        <v>1.1223</v>
      </c>
      <c r="Z90" s="5" t="n">
        <v>1.1325</v>
      </c>
      <c r="AA90" s="5" t="n">
        <v>1.1122</v>
      </c>
      <c r="AB90" s="5" t="n">
        <v>1.1185</v>
      </c>
      <c r="AC90" s="5" t="n">
        <v>1.1185</v>
      </c>
      <c r="AD90" s="5" t="s">
        <v>7</v>
      </c>
    </row>
    <row r="91" customFormat="false" ht="16.5" hidden="false" customHeight="false" outlineLevel="0" collapsed="false">
      <c r="A91" s="7" t="n">
        <v>43739</v>
      </c>
      <c r="B91" s="3" t="n">
        <v>257.8</v>
      </c>
      <c r="C91" s="3" t="n">
        <v>266.6</v>
      </c>
      <c r="D91" s="3" t="n">
        <v>235.5</v>
      </c>
      <c r="E91" s="3" t="n">
        <v>261.8</v>
      </c>
      <c r="F91" s="3" t="n">
        <v>235.53</v>
      </c>
      <c r="G91" s="8" t="n">
        <v>11938914</v>
      </c>
      <c r="L91" s="7" t="n">
        <v>44264</v>
      </c>
      <c r="M91" s="9" t="s">
        <v>14</v>
      </c>
      <c r="N91" s="9"/>
      <c r="O91" s="9"/>
      <c r="P91" s="9"/>
      <c r="Q91" s="9"/>
      <c r="R91" s="9"/>
      <c r="X91" s="7" t="n">
        <v>43525</v>
      </c>
      <c r="Y91" s="3" t="n">
        <v>1.1373</v>
      </c>
      <c r="Z91" s="3" t="n">
        <v>1.144</v>
      </c>
      <c r="AA91" s="3" t="n">
        <v>1.1186</v>
      </c>
      <c r="AB91" s="3" t="n">
        <v>1.1233</v>
      </c>
      <c r="AC91" s="3" t="n">
        <v>1.1233</v>
      </c>
      <c r="AD91" s="3" t="s">
        <v>7</v>
      </c>
    </row>
    <row r="92" customFormat="false" ht="16.5" hidden="false" customHeight="false" outlineLevel="0" collapsed="false">
      <c r="A92" s="4" t="n">
        <v>43709</v>
      </c>
      <c r="B92" s="5" t="n">
        <v>247.6</v>
      </c>
      <c r="C92" s="5" t="n">
        <v>257.4</v>
      </c>
      <c r="D92" s="5" t="n">
        <v>241.4</v>
      </c>
      <c r="E92" s="5" t="n">
        <v>256.9</v>
      </c>
      <c r="F92" s="5" t="n">
        <v>231.12</v>
      </c>
      <c r="G92" s="6" t="n">
        <v>10577333</v>
      </c>
      <c r="L92" s="4" t="n">
        <v>44256</v>
      </c>
      <c r="M92" s="5" t="n">
        <v>13.88</v>
      </c>
      <c r="N92" s="5" t="n">
        <v>13.93</v>
      </c>
      <c r="O92" s="5" t="n">
        <v>11.57</v>
      </c>
      <c r="P92" s="5" t="n">
        <v>13.35</v>
      </c>
      <c r="Q92" s="5" t="n">
        <v>13.28</v>
      </c>
      <c r="R92" s="6" t="n">
        <v>7648656000</v>
      </c>
      <c r="X92" s="4" t="n">
        <v>43497</v>
      </c>
      <c r="Y92" s="5" t="n">
        <v>1.1451</v>
      </c>
      <c r="Z92" s="5" t="n">
        <v>1.1488</v>
      </c>
      <c r="AA92" s="5" t="n">
        <v>1.1235</v>
      </c>
      <c r="AB92" s="5" t="n">
        <v>1.138</v>
      </c>
      <c r="AC92" s="5" t="n">
        <v>1.138</v>
      </c>
      <c r="AD92" s="5" t="s">
        <v>7</v>
      </c>
    </row>
    <row r="93" customFormat="false" ht="16.5" hidden="false" customHeight="false" outlineLevel="0" collapsed="false">
      <c r="A93" s="7" t="n">
        <v>43678</v>
      </c>
      <c r="B93" s="3" t="n">
        <v>239.5</v>
      </c>
      <c r="C93" s="3" t="n">
        <v>251.1</v>
      </c>
      <c r="D93" s="3" t="n">
        <v>226.4</v>
      </c>
      <c r="E93" s="3" t="n">
        <v>248.6</v>
      </c>
      <c r="F93" s="3" t="n">
        <v>223.65</v>
      </c>
      <c r="G93" s="8" t="n">
        <v>12797526</v>
      </c>
      <c r="L93" s="7" t="n">
        <v>44228</v>
      </c>
      <c r="M93" s="3" t="n">
        <v>13.05</v>
      </c>
      <c r="N93" s="3" t="n">
        <v>15.37</v>
      </c>
      <c r="O93" s="3" t="n">
        <v>12.9</v>
      </c>
      <c r="P93" s="3" t="n">
        <v>13.71</v>
      </c>
      <c r="Q93" s="3" t="n">
        <v>13.64</v>
      </c>
      <c r="R93" s="8" t="n">
        <v>6680324000</v>
      </c>
      <c r="X93" s="11" t="n">
        <v>43466</v>
      </c>
      <c r="Y93" s="12" t="n">
        <v>1.1494</v>
      </c>
      <c r="Z93" s="12" t="n">
        <v>1.1571</v>
      </c>
      <c r="AA93" s="12" t="n">
        <v>1.1306</v>
      </c>
      <c r="AB93" s="12" t="n">
        <v>1.1488</v>
      </c>
      <c r="AC93" s="12" t="n">
        <v>1.1488</v>
      </c>
      <c r="AD93" s="12" t="s">
        <v>7</v>
      </c>
    </row>
    <row r="94" customFormat="false" ht="16.5" hidden="false" customHeight="false" outlineLevel="0" collapsed="false">
      <c r="A94" s="4" t="n">
        <v>43647</v>
      </c>
      <c r="B94" s="5" t="n">
        <v>252</v>
      </c>
      <c r="C94" s="5" t="n">
        <v>257.8</v>
      </c>
      <c r="D94" s="5" t="n">
        <v>235.3</v>
      </c>
      <c r="E94" s="5" t="n">
        <v>242</v>
      </c>
      <c r="F94" s="5" t="n">
        <v>217.72</v>
      </c>
      <c r="G94" s="6" t="n">
        <v>9016315</v>
      </c>
      <c r="L94" s="4" t="n">
        <v>44197</v>
      </c>
      <c r="M94" s="5" t="n">
        <v>13.1</v>
      </c>
      <c r="N94" s="5" t="n">
        <v>14</v>
      </c>
      <c r="O94" s="5" t="n">
        <v>12.59</v>
      </c>
      <c r="P94" s="5" t="n">
        <v>12.99</v>
      </c>
      <c r="Q94" s="5" t="n">
        <v>12.92</v>
      </c>
      <c r="R94" s="6" t="n">
        <v>6154172000</v>
      </c>
    </row>
    <row r="95" customFormat="false" ht="16.5" hidden="false" customHeight="false" outlineLevel="0" collapsed="false">
      <c r="A95" s="7" t="n">
        <v>43617</v>
      </c>
      <c r="B95" s="3" t="n">
        <v>240</v>
      </c>
      <c r="C95" s="3" t="n">
        <v>257.3</v>
      </c>
      <c r="D95" s="3" t="n">
        <v>238.1</v>
      </c>
      <c r="E95" s="3" t="n">
        <v>250.5</v>
      </c>
      <c r="F95" s="3" t="n">
        <v>225.36</v>
      </c>
      <c r="G95" s="8" t="n">
        <v>9043355</v>
      </c>
      <c r="L95" s="7" t="n">
        <v>44168</v>
      </c>
      <c r="M95" s="9" t="s">
        <v>14</v>
      </c>
      <c r="N95" s="9"/>
      <c r="O95" s="9"/>
      <c r="P95" s="9"/>
      <c r="Q95" s="9"/>
      <c r="R95" s="9"/>
    </row>
    <row r="96" customFormat="false" ht="16.5" hidden="false" customHeight="false" outlineLevel="0" collapsed="false">
      <c r="A96" s="4" t="n">
        <v>43586</v>
      </c>
      <c r="B96" s="5" t="n">
        <v>245.1</v>
      </c>
      <c r="C96" s="5" t="n">
        <v>245.7</v>
      </c>
      <c r="D96" s="5" t="n">
        <v>233.1</v>
      </c>
      <c r="E96" s="5" t="n">
        <v>240.4</v>
      </c>
      <c r="F96" s="5" t="n">
        <v>216.28</v>
      </c>
      <c r="G96" s="6" t="n">
        <v>9666813</v>
      </c>
      <c r="L96" s="4" t="n">
        <v>44166</v>
      </c>
      <c r="M96" s="5" t="n">
        <v>13.49</v>
      </c>
      <c r="N96" s="5" t="n">
        <v>13.73</v>
      </c>
      <c r="O96" s="5" t="n">
        <v>12.76</v>
      </c>
      <c r="P96" s="5" t="n">
        <v>13.06</v>
      </c>
      <c r="Q96" s="5" t="n">
        <v>12.99</v>
      </c>
      <c r="R96" s="6" t="n">
        <v>5120996000</v>
      </c>
    </row>
    <row r="97" customFormat="false" ht="16.5" hidden="false" customHeight="false" outlineLevel="0" collapsed="false">
      <c r="A97" s="7" t="n">
        <v>43581</v>
      </c>
      <c r="B97" s="9" t="s">
        <v>18</v>
      </c>
      <c r="C97" s="9"/>
      <c r="D97" s="9"/>
      <c r="E97" s="9"/>
      <c r="F97" s="9"/>
      <c r="G97" s="9"/>
      <c r="L97" s="7" t="n">
        <v>44136</v>
      </c>
      <c r="M97" s="3" t="n">
        <v>12.66</v>
      </c>
      <c r="N97" s="3" t="n">
        <v>14.69</v>
      </c>
      <c r="O97" s="3" t="n">
        <v>12.4</v>
      </c>
      <c r="P97" s="3" t="n">
        <v>13.4</v>
      </c>
      <c r="Q97" s="3" t="n">
        <v>13.33</v>
      </c>
      <c r="R97" s="8" t="n">
        <v>7594820000</v>
      </c>
    </row>
    <row r="98" customFormat="false" ht="16.5" hidden="false" customHeight="false" outlineLevel="0" collapsed="false">
      <c r="A98" s="4" t="n">
        <v>43556</v>
      </c>
      <c r="B98" s="5" t="n">
        <v>241.3</v>
      </c>
      <c r="C98" s="5" t="n">
        <v>245.8</v>
      </c>
      <c r="D98" s="5" t="n">
        <v>237.2</v>
      </c>
      <c r="E98" s="5" t="n">
        <v>245.1</v>
      </c>
      <c r="F98" s="5" t="n">
        <v>220.51</v>
      </c>
      <c r="G98" s="6" t="n">
        <v>9507829</v>
      </c>
      <c r="L98" s="4" t="n">
        <v>44105</v>
      </c>
      <c r="M98" s="5" t="n">
        <v>13.76</v>
      </c>
      <c r="N98" s="5" t="n">
        <v>14.35</v>
      </c>
      <c r="O98" s="5" t="n">
        <v>12.3</v>
      </c>
      <c r="P98" s="5" t="n">
        <v>12.53</v>
      </c>
      <c r="Q98" s="5" t="n">
        <v>12.47</v>
      </c>
      <c r="R98" s="6" t="n">
        <v>8022356000</v>
      </c>
    </row>
    <row r="99" customFormat="false" ht="16.5" hidden="false" customHeight="false" outlineLevel="0" collapsed="false">
      <c r="A99" s="7" t="n">
        <v>43525</v>
      </c>
      <c r="B99" s="3" t="n">
        <v>225</v>
      </c>
      <c r="C99" s="3" t="n">
        <v>240.3</v>
      </c>
      <c r="D99" s="3" t="n">
        <v>221.3</v>
      </c>
      <c r="E99" s="3" t="n">
        <v>239.8</v>
      </c>
      <c r="F99" s="3" t="n">
        <v>212.33</v>
      </c>
      <c r="G99" s="8" t="n">
        <v>9323967</v>
      </c>
      <c r="L99" s="7" t="n">
        <v>44075</v>
      </c>
      <c r="M99" s="9" t="s">
        <v>14</v>
      </c>
      <c r="N99" s="9"/>
      <c r="O99" s="9"/>
      <c r="P99" s="9"/>
      <c r="Q99" s="9"/>
      <c r="R99" s="9"/>
    </row>
    <row r="100" customFormat="false" ht="16.5" hidden="false" customHeight="false" outlineLevel="0" collapsed="false">
      <c r="A100" s="4" t="n">
        <v>43497</v>
      </c>
      <c r="B100" s="5" t="n">
        <v>211.4</v>
      </c>
      <c r="C100" s="5" t="n">
        <v>226.7</v>
      </c>
      <c r="D100" s="5" t="n">
        <v>209.6</v>
      </c>
      <c r="E100" s="5" t="n">
        <v>221.9</v>
      </c>
      <c r="F100" s="5" t="n">
        <v>196.48</v>
      </c>
      <c r="G100" s="6" t="n">
        <v>10204947</v>
      </c>
      <c r="L100" s="4" t="n">
        <v>44075</v>
      </c>
      <c r="M100" s="5" t="n">
        <v>13.48</v>
      </c>
      <c r="N100" s="5" t="n">
        <v>14.73</v>
      </c>
      <c r="O100" s="5" t="n">
        <v>11.7</v>
      </c>
      <c r="P100" s="5" t="n">
        <v>13.53</v>
      </c>
      <c r="Q100" s="5" t="n">
        <v>13.46</v>
      </c>
      <c r="R100" s="6" t="n">
        <v>15856552000</v>
      </c>
    </row>
    <row r="101" customFormat="false" ht="16.5" hidden="false" customHeight="false" outlineLevel="0" collapsed="false">
      <c r="A101" s="11" t="n">
        <v>43466</v>
      </c>
      <c r="B101" s="12" t="n">
        <v>201.2</v>
      </c>
      <c r="C101" s="12" t="n">
        <v>210.1</v>
      </c>
      <c r="D101" s="12" t="n">
        <v>194.55</v>
      </c>
      <c r="E101" s="12" t="n">
        <v>210.1</v>
      </c>
      <c r="F101" s="12" t="n">
        <v>186.03</v>
      </c>
      <c r="G101" s="13" t="n">
        <v>10152225</v>
      </c>
      <c r="L101" s="7" t="n">
        <v>44044</v>
      </c>
      <c r="M101" s="3" t="n">
        <v>10.73</v>
      </c>
      <c r="N101" s="3" t="n">
        <v>13.57</v>
      </c>
      <c r="O101" s="3" t="n">
        <v>10.72</v>
      </c>
      <c r="P101" s="3" t="n">
        <v>13.37</v>
      </c>
      <c r="Q101" s="3" t="n">
        <v>13.3</v>
      </c>
      <c r="R101" s="8" t="n">
        <v>9672544000</v>
      </c>
    </row>
    <row r="102" customFormat="false" ht="16.5" hidden="false" customHeight="false" outlineLevel="0" collapsed="false">
      <c r="L102" s="4" t="n">
        <v>44013</v>
      </c>
      <c r="M102" s="5" t="n">
        <v>9.52</v>
      </c>
      <c r="N102" s="5" t="n">
        <v>10.79</v>
      </c>
      <c r="O102" s="5" t="n">
        <v>9.41</v>
      </c>
      <c r="P102" s="5" t="n">
        <v>10.61</v>
      </c>
      <c r="Q102" s="5" t="n">
        <v>10.55</v>
      </c>
      <c r="R102" s="6" t="n">
        <v>8094452000</v>
      </c>
    </row>
    <row r="103" customFormat="false" ht="16.5" hidden="false" customHeight="false" outlineLevel="0" collapsed="false">
      <c r="L103" s="7" t="n">
        <v>43986</v>
      </c>
      <c r="M103" s="9" t="s">
        <v>14</v>
      </c>
      <c r="N103" s="9"/>
      <c r="O103" s="9"/>
      <c r="P103" s="9"/>
      <c r="Q103" s="9"/>
      <c r="R103" s="9"/>
    </row>
    <row r="104" customFormat="false" ht="16.5" hidden="false" customHeight="false" outlineLevel="0" collapsed="false">
      <c r="L104" s="4" t="n">
        <v>43983</v>
      </c>
      <c r="M104" s="5" t="n">
        <v>8.83</v>
      </c>
      <c r="N104" s="5" t="n">
        <v>9.64</v>
      </c>
      <c r="O104" s="5" t="n">
        <v>8.66</v>
      </c>
      <c r="P104" s="5" t="n">
        <v>9.5</v>
      </c>
      <c r="Q104" s="5" t="n">
        <v>9.44</v>
      </c>
      <c r="R104" s="6" t="n">
        <v>9719464000</v>
      </c>
    </row>
    <row r="105" customFormat="false" ht="16.5" hidden="false" customHeight="false" outlineLevel="0" collapsed="false">
      <c r="L105" s="7" t="n">
        <v>43952</v>
      </c>
      <c r="M105" s="3" t="n">
        <v>7.11</v>
      </c>
      <c r="N105" s="3" t="n">
        <v>9.18</v>
      </c>
      <c r="O105" s="3" t="n">
        <v>7.02</v>
      </c>
      <c r="P105" s="3" t="n">
        <v>8.88</v>
      </c>
      <c r="Q105" s="3" t="n">
        <v>8.82</v>
      </c>
      <c r="R105" s="8" t="n">
        <v>12548876000</v>
      </c>
    </row>
    <row r="106" customFormat="false" ht="16.5" hidden="false" customHeight="false" outlineLevel="0" collapsed="false">
      <c r="L106" s="4" t="n">
        <v>43922</v>
      </c>
      <c r="M106" s="5" t="n">
        <v>6.39</v>
      </c>
      <c r="N106" s="5" t="n">
        <v>7.61</v>
      </c>
      <c r="O106" s="5" t="n">
        <v>5.96</v>
      </c>
      <c r="P106" s="5" t="n">
        <v>7.31</v>
      </c>
      <c r="Q106" s="5" t="n">
        <v>7.26</v>
      </c>
      <c r="R106" s="6" t="n">
        <v>11278304000</v>
      </c>
    </row>
    <row r="107" customFormat="false" ht="16.5" hidden="false" customHeight="false" outlineLevel="0" collapsed="false">
      <c r="L107" s="7" t="n">
        <v>43891</v>
      </c>
      <c r="M107" s="3" t="n">
        <v>6.92</v>
      </c>
      <c r="N107" s="3" t="n">
        <v>7.12</v>
      </c>
      <c r="O107" s="3" t="n">
        <v>4.52</v>
      </c>
      <c r="P107" s="3" t="n">
        <v>6.59</v>
      </c>
      <c r="Q107" s="3" t="n">
        <v>6.55</v>
      </c>
      <c r="R107" s="8" t="n">
        <v>15773952000</v>
      </c>
    </row>
    <row r="108" customFormat="false" ht="16.5" hidden="false" customHeight="false" outlineLevel="0" collapsed="false">
      <c r="L108" s="4" t="n">
        <v>43888</v>
      </c>
      <c r="M108" s="10" t="s">
        <v>14</v>
      </c>
      <c r="N108" s="10"/>
      <c r="O108" s="10"/>
      <c r="P108" s="10"/>
      <c r="Q108" s="10"/>
      <c r="R108" s="10"/>
    </row>
    <row r="109" customFormat="false" ht="16.5" hidden="false" customHeight="false" outlineLevel="0" collapsed="false">
      <c r="L109" s="7" t="n">
        <v>43862</v>
      </c>
      <c r="M109" s="3" t="n">
        <v>5.89</v>
      </c>
      <c r="N109" s="3" t="n">
        <v>7.91</v>
      </c>
      <c r="O109" s="3" t="n">
        <v>5.89</v>
      </c>
      <c r="P109" s="3" t="n">
        <v>6.75</v>
      </c>
      <c r="Q109" s="3" t="n">
        <v>6.71</v>
      </c>
      <c r="R109" s="8" t="n">
        <v>11848652000</v>
      </c>
    </row>
    <row r="110" customFormat="false" ht="16.5" hidden="false" customHeight="false" outlineLevel="0" collapsed="false">
      <c r="L110" s="4" t="n">
        <v>43831</v>
      </c>
      <c r="M110" s="5" t="n">
        <v>5.97</v>
      </c>
      <c r="N110" s="5" t="n">
        <v>6.49</v>
      </c>
      <c r="O110" s="5" t="n">
        <v>5.78</v>
      </c>
      <c r="P110" s="5" t="n">
        <v>5.91</v>
      </c>
      <c r="Q110" s="5" t="n">
        <v>5.87</v>
      </c>
      <c r="R110" s="6" t="n">
        <v>6125412000</v>
      </c>
    </row>
    <row r="111" customFormat="false" ht="16.5" hidden="false" customHeight="false" outlineLevel="0" collapsed="false">
      <c r="L111" s="7" t="n">
        <v>43800</v>
      </c>
      <c r="M111" s="3" t="n">
        <v>5.41</v>
      </c>
      <c r="N111" s="3" t="n">
        <v>6.05</v>
      </c>
      <c r="O111" s="3" t="n">
        <v>5.01</v>
      </c>
      <c r="P111" s="3" t="n">
        <v>5.88</v>
      </c>
      <c r="Q111" s="3" t="n">
        <v>5.84</v>
      </c>
      <c r="R111" s="8" t="n">
        <v>6543532000</v>
      </c>
    </row>
    <row r="112" customFormat="false" ht="16.5" hidden="false" customHeight="false" outlineLevel="0" collapsed="false">
      <c r="L112" s="4" t="n">
        <v>43796</v>
      </c>
      <c r="M112" s="10" t="s">
        <v>14</v>
      </c>
      <c r="N112" s="10"/>
      <c r="O112" s="10"/>
      <c r="P112" s="10"/>
      <c r="Q112" s="10"/>
      <c r="R112" s="10"/>
    </row>
    <row r="113" customFormat="false" ht="16.5" hidden="false" customHeight="false" outlineLevel="0" collapsed="false">
      <c r="L113" s="7" t="n">
        <v>43770</v>
      </c>
      <c r="M113" s="3" t="n">
        <v>4.99</v>
      </c>
      <c r="N113" s="3" t="n">
        <v>5.54</v>
      </c>
      <c r="O113" s="3" t="n">
        <v>4.96</v>
      </c>
      <c r="P113" s="3" t="n">
        <v>5.42</v>
      </c>
      <c r="Q113" s="3" t="n">
        <v>5.38</v>
      </c>
      <c r="R113" s="8" t="n">
        <v>7321800000</v>
      </c>
    </row>
    <row r="114" customFormat="false" ht="16.5" hidden="false" customHeight="false" outlineLevel="0" collapsed="false">
      <c r="L114" s="4" t="n">
        <v>43739</v>
      </c>
      <c r="M114" s="5" t="n">
        <v>4.38</v>
      </c>
      <c r="N114" s="5" t="n">
        <v>5.22</v>
      </c>
      <c r="O114" s="5" t="n">
        <v>4.25</v>
      </c>
      <c r="P114" s="5" t="n">
        <v>5.03</v>
      </c>
      <c r="Q114" s="5" t="n">
        <v>4.99</v>
      </c>
      <c r="R114" s="6" t="n">
        <v>7696172000</v>
      </c>
    </row>
    <row r="115" customFormat="false" ht="16.5" hidden="false" customHeight="false" outlineLevel="0" collapsed="false">
      <c r="L115" s="7" t="n">
        <v>43709</v>
      </c>
      <c r="M115" s="3" t="n">
        <v>4.11</v>
      </c>
      <c r="N115" s="3" t="n">
        <v>4.71</v>
      </c>
      <c r="O115" s="3" t="n">
        <v>4.08</v>
      </c>
      <c r="P115" s="3" t="n">
        <v>4.35</v>
      </c>
      <c r="Q115" s="3" t="n">
        <v>4.32</v>
      </c>
      <c r="R115" s="8" t="n">
        <v>6347768000</v>
      </c>
    </row>
    <row r="116" customFormat="false" ht="16.5" hidden="false" customHeight="false" outlineLevel="0" collapsed="false">
      <c r="L116" s="4" t="n">
        <v>43705</v>
      </c>
      <c r="M116" s="10" t="s">
        <v>14</v>
      </c>
      <c r="N116" s="10"/>
      <c r="O116" s="10"/>
      <c r="P116" s="10"/>
      <c r="Q116" s="10"/>
      <c r="R116" s="10"/>
    </row>
    <row r="117" customFormat="false" ht="16.5" hidden="false" customHeight="false" outlineLevel="0" collapsed="false">
      <c r="L117" s="7" t="n">
        <v>43678</v>
      </c>
      <c r="M117" s="3" t="n">
        <v>4.23</v>
      </c>
      <c r="N117" s="3" t="n">
        <v>4.34</v>
      </c>
      <c r="O117" s="3" t="n">
        <v>3.68</v>
      </c>
      <c r="P117" s="3" t="n">
        <v>4.19</v>
      </c>
      <c r="Q117" s="3" t="n">
        <v>4.16</v>
      </c>
      <c r="R117" s="8" t="n">
        <v>9450328000</v>
      </c>
    </row>
    <row r="118" customFormat="false" ht="16.5" hidden="false" customHeight="false" outlineLevel="0" collapsed="false">
      <c r="L118" s="4" t="n">
        <v>43647</v>
      </c>
      <c r="M118" s="5" t="n">
        <v>4.31</v>
      </c>
      <c r="N118" s="5" t="n">
        <v>4.47</v>
      </c>
      <c r="O118" s="5" t="n">
        <v>3.88</v>
      </c>
      <c r="P118" s="5" t="n">
        <v>4.22</v>
      </c>
      <c r="Q118" s="5" t="n">
        <v>4.18</v>
      </c>
      <c r="R118" s="6" t="n">
        <v>8415984000</v>
      </c>
    </row>
    <row r="119" customFormat="false" ht="16.5" hidden="false" customHeight="false" outlineLevel="0" collapsed="false">
      <c r="L119" s="7" t="n">
        <v>43617</v>
      </c>
      <c r="M119" s="3" t="n">
        <v>3.4</v>
      </c>
      <c r="N119" s="3" t="n">
        <v>4.13</v>
      </c>
      <c r="O119" s="3" t="n">
        <v>3.32</v>
      </c>
      <c r="P119" s="3" t="n">
        <v>4.11</v>
      </c>
      <c r="Q119" s="3" t="n">
        <v>4.07</v>
      </c>
      <c r="R119" s="8" t="n">
        <v>8233340000</v>
      </c>
    </row>
    <row r="120" customFormat="false" ht="16.5" hidden="false" customHeight="false" outlineLevel="0" collapsed="false">
      <c r="L120" s="4" t="n">
        <v>43615</v>
      </c>
      <c r="M120" s="10" t="s">
        <v>14</v>
      </c>
      <c r="N120" s="10"/>
      <c r="O120" s="10"/>
      <c r="P120" s="10"/>
      <c r="Q120" s="10"/>
      <c r="R120" s="10"/>
    </row>
    <row r="121" customFormat="false" ht="16.5" hidden="false" customHeight="false" outlineLevel="0" collapsed="false">
      <c r="L121" s="7" t="n">
        <v>43586</v>
      </c>
      <c r="M121" s="3" t="n">
        <v>4.58</v>
      </c>
      <c r="N121" s="3" t="n">
        <v>4.62</v>
      </c>
      <c r="O121" s="3" t="n">
        <v>3.38</v>
      </c>
      <c r="P121" s="3" t="n">
        <v>3.39</v>
      </c>
      <c r="Q121" s="3" t="n">
        <v>3.36</v>
      </c>
      <c r="R121" s="8" t="n">
        <v>11180752000</v>
      </c>
    </row>
    <row r="122" customFormat="false" ht="16.5" hidden="false" customHeight="false" outlineLevel="0" collapsed="false">
      <c r="L122" s="4" t="n">
        <v>43556</v>
      </c>
      <c r="M122" s="5" t="n">
        <v>4.58</v>
      </c>
      <c r="N122" s="5" t="n">
        <v>4.84</v>
      </c>
      <c r="O122" s="5" t="n">
        <v>4.33</v>
      </c>
      <c r="P122" s="5" t="n">
        <v>4.53</v>
      </c>
      <c r="Q122" s="5" t="n">
        <v>4.48</v>
      </c>
      <c r="R122" s="6" t="n">
        <v>9437780000</v>
      </c>
    </row>
    <row r="123" customFormat="false" ht="16.5" hidden="false" customHeight="false" outlineLevel="0" collapsed="false">
      <c r="L123" s="7" t="n">
        <v>43525</v>
      </c>
      <c r="M123" s="3" t="n">
        <v>3.91</v>
      </c>
      <c r="N123" s="3" t="n">
        <v>4.63</v>
      </c>
      <c r="O123" s="3" t="n">
        <v>3.62</v>
      </c>
      <c r="P123" s="3" t="n">
        <v>4.49</v>
      </c>
      <c r="Q123" s="3" t="n">
        <v>4.45</v>
      </c>
      <c r="R123" s="8" t="n">
        <v>12068540000</v>
      </c>
    </row>
    <row r="124" customFormat="false" ht="16.5" hidden="false" customHeight="false" outlineLevel="0" collapsed="false">
      <c r="L124" s="4" t="n">
        <v>43524</v>
      </c>
      <c r="M124" s="10" t="s">
        <v>14</v>
      </c>
      <c r="N124" s="10"/>
      <c r="O124" s="10"/>
      <c r="P124" s="10"/>
      <c r="Q124" s="10"/>
      <c r="R124" s="10"/>
    </row>
    <row r="125" customFormat="false" ht="16.5" hidden="false" customHeight="false" outlineLevel="0" collapsed="false">
      <c r="L125" s="7" t="n">
        <v>43497</v>
      </c>
      <c r="M125" s="3" t="n">
        <v>3.61</v>
      </c>
      <c r="N125" s="3" t="n">
        <v>4.13</v>
      </c>
      <c r="O125" s="3" t="n">
        <v>3.56</v>
      </c>
      <c r="P125" s="3" t="n">
        <v>3.86</v>
      </c>
      <c r="Q125" s="3" t="n">
        <v>3.82</v>
      </c>
      <c r="R125" s="8" t="n">
        <v>11445728000</v>
      </c>
    </row>
    <row r="126" customFormat="false" ht="16.5" hidden="false" customHeight="false" outlineLevel="0" collapsed="false">
      <c r="L126" s="4" t="n">
        <v>43466</v>
      </c>
      <c r="M126" s="5" t="n">
        <v>3.27</v>
      </c>
      <c r="N126" s="5" t="n">
        <v>4.02</v>
      </c>
      <c r="O126" s="5" t="n">
        <v>3.19</v>
      </c>
      <c r="P126" s="5" t="n">
        <v>3.59</v>
      </c>
      <c r="Q126" s="5" t="n">
        <v>3.56</v>
      </c>
      <c r="R126" s="6" t="n">
        <v>16870992000</v>
      </c>
    </row>
  </sheetData>
  <mergeCells count="40">
    <mergeCell ref="M5:R5"/>
    <mergeCell ref="B6:G6"/>
    <mergeCell ref="M9:R9"/>
    <mergeCell ref="M13:R13"/>
    <mergeCell ref="M17:R17"/>
    <mergeCell ref="B18:G18"/>
    <mergeCell ref="M21:R21"/>
    <mergeCell ref="M25:R25"/>
    <mergeCell ref="M29:R29"/>
    <mergeCell ref="B32:G32"/>
    <mergeCell ref="M33:R33"/>
    <mergeCell ref="M37:R37"/>
    <mergeCell ref="M39:R39"/>
    <mergeCell ref="M42:R42"/>
    <mergeCell ref="B45:G45"/>
    <mergeCell ref="M46:R46"/>
    <mergeCell ref="M50:R50"/>
    <mergeCell ref="M54:R54"/>
    <mergeCell ref="B58:G58"/>
    <mergeCell ref="M58:R58"/>
    <mergeCell ref="M63:R63"/>
    <mergeCell ref="M66:R66"/>
    <mergeCell ref="M70:R70"/>
    <mergeCell ref="B71:G71"/>
    <mergeCell ref="M74:R74"/>
    <mergeCell ref="M78:R78"/>
    <mergeCell ref="B81:G81"/>
    <mergeCell ref="M83:R83"/>
    <mergeCell ref="M85:R85"/>
    <mergeCell ref="M87:R87"/>
    <mergeCell ref="M91:R91"/>
    <mergeCell ref="M95:R95"/>
    <mergeCell ref="B97:G97"/>
    <mergeCell ref="M99:R99"/>
    <mergeCell ref="M103:R103"/>
    <mergeCell ref="M108:R108"/>
    <mergeCell ref="M112:R112"/>
    <mergeCell ref="M116:R116"/>
    <mergeCell ref="M120:R120"/>
    <mergeCell ref="M124:R1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3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H12" activeCellId="0" sqref="H1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5.8"/>
    <col collapsed="false" customWidth="true" hidden="false" outlineLevel="0" max="2" min="2" style="0" width="21.86"/>
    <col collapsed="false" customWidth="true" hidden="false" outlineLevel="0" max="3" min="3" style="0" width="16.47"/>
    <col collapsed="false" customWidth="true" hidden="false" outlineLevel="0" max="4" min="4" style="0" width="20.47"/>
    <col collapsed="false" customWidth="true" hidden="false" outlineLevel="0" max="5" min="5" style="0" width="19.93"/>
    <col collapsed="false" customWidth="true" hidden="false" outlineLevel="0" max="6" min="6" style="0" width="20.47"/>
    <col collapsed="false" customWidth="true" hidden="false" outlineLevel="0" max="7" min="7" style="0" width="21.86"/>
    <col collapsed="false" customWidth="true" hidden="false" outlineLevel="0" max="9" min="9" style="0" width="20.07"/>
    <col collapsed="false" customWidth="true" hidden="false" outlineLevel="0" max="10" min="10" style="0" width="14.46"/>
    <col collapsed="false" customWidth="true" hidden="false" outlineLevel="0" max="11" min="11" style="0" width="13.87"/>
    <col collapsed="false" customWidth="true" hidden="false" outlineLevel="0" max="12" min="12" style="0" width="20"/>
    <col collapsed="false" customWidth="true" hidden="false" outlineLevel="0" max="14" min="14" style="0" width="12.2"/>
  </cols>
  <sheetData>
    <row r="1" customFormat="false" ht="14.25" hidden="false" customHeight="false" outlineLevel="0" collapsed="false">
      <c r="A1" s="14" t="s">
        <v>0</v>
      </c>
      <c r="B1" s="14" t="s">
        <v>20</v>
      </c>
      <c r="C1" s="14" t="s">
        <v>21</v>
      </c>
      <c r="D1" s="14" t="s">
        <v>22</v>
      </c>
      <c r="E1" s="14" t="s">
        <v>23</v>
      </c>
      <c r="F1" s="14" t="s">
        <v>24</v>
      </c>
      <c r="G1" s="14" t="s">
        <v>25</v>
      </c>
      <c r="I1" s="14" t="s">
        <v>26</v>
      </c>
      <c r="J1" s="14" t="s">
        <v>27</v>
      </c>
      <c r="K1" s="14" t="s">
        <v>28</v>
      </c>
    </row>
    <row r="2" customFormat="false" ht="14.25" hidden="false" customHeight="false" outlineLevel="0" collapsed="false">
      <c r="A2" s="15" t="n">
        <v>43466</v>
      </c>
      <c r="B2" s="14" t="n">
        <f aca="false">VLOOKUP(A2,'Price Data'!$A$2:$F$150,6,FALSE())</f>
        <v>186.03</v>
      </c>
      <c r="C2" s="14" t="n">
        <f aca="false">VLOOKUP(A2,'Price Data'!$X$2:$AC$150,6,FALSE())</f>
        <v>1.1488</v>
      </c>
      <c r="D2" s="16" t="n">
        <f aca="false">B2*C2</f>
        <v>213.711264</v>
      </c>
      <c r="E2" s="14" t="n">
        <f aca="false">SUMIFS('Price Data'!$Q$2:$Q$150,'Price Data'!$L$2:$L$150,A2)</f>
        <v>3.56</v>
      </c>
      <c r="F2" s="14"/>
      <c r="G2" s="14"/>
      <c r="I2" s="14" t="s">
        <v>29</v>
      </c>
      <c r="J2" s="17" t="n">
        <f aca="false">AVERAGE(F3:F93)</f>
        <v>0.0103387994604455</v>
      </c>
      <c r="K2" s="17" t="n">
        <f aca="false">AVERAGE(G3:G93)</f>
        <v>0.0548806607569931</v>
      </c>
    </row>
    <row r="3" customFormat="false" ht="14.25" hidden="false" customHeight="false" outlineLevel="0" collapsed="false">
      <c r="A3" s="15" t="n">
        <f aca="false">EDATE(A2,1)</f>
        <v>43497</v>
      </c>
      <c r="B3" s="14" t="n">
        <f aca="false">VLOOKUP(A3,'Price Data'!$A$2:$F$150,6,FALSE())</f>
        <v>196.48</v>
      </c>
      <c r="C3" s="14" t="n">
        <f aca="false">VLOOKUP(A3,'Price Data'!$X$2:$AC$150,6,FALSE())</f>
        <v>1.138</v>
      </c>
      <c r="D3" s="16" t="n">
        <f aca="false">B3*C3</f>
        <v>223.59424</v>
      </c>
      <c r="E3" s="14" t="n">
        <f aca="false">SUMIFS('Price Data'!$Q$2:$Q$150,'Price Data'!$L$2:$L$150,A3)</f>
        <v>3.82</v>
      </c>
      <c r="F3" s="17" t="n">
        <f aca="false">(D3-D2)/D2</f>
        <v>0.0462445255108311</v>
      </c>
      <c r="G3" s="17" t="n">
        <f aca="false">(E3-E2)/E2</f>
        <v>0.0730337078651685</v>
      </c>
      <c r="I3" s="14" t="s">
        <v>30</v>
      </c>
      <c r="J3" s="17" t="n">
        <f aca="false">_xlfn.STDEV.S(F3:F93)</f>
        <v>0.0672415670240493</v>
      </c>
      <c r="K3" s="17" t="n">
        <f aca="false">_xlfn.STDEV.S(G3:G93)</f>
        <v>0.132365730818193</v>
      </c>
    </row>
    <row r="4" customFormat="false" ht="14.25" hidden="false" customHeight="false" outlineLevel="0" collapsed="false">
      <c r="A4" s="15" t="n">
        <f aca="false">EDATE(A3,1)</f>
        <v>43525</v>
      </c>
      <c r="B4" s="14" t="n">
        <f aca="false">VLOOKUP(A4,'Price Data'!$A$2:$F$150,6,FALSE())</f>
        <v>212.33</v>
      </c>
      <c r="C4" s="14" t="n">
        <f aca="false">VLOOKUP(A4,'Price Data'!$X$2:$AC$150,6,FALSE())</f>
        <v>1.1233</v>
      </c>
      <c r="D4" s="16" t="n">
        <f aca="false">B4*C4</f>
        <v>238.510289</v>
      </c>
      <c r="E4" s="14" t="n">
        <f aca="false">SUMIFS('Price Data'!$Q$2:$Q$150,'Price Data'!$L$2:$L$150,A4)</f>
        <v>4.45</v>
      </c>
      <c r="F4" s="17" t="n">
        <f aca="false">(D4-D3)/D3</f>
        <v>0.0667103454901166</v>
      </c>
      <c r="G4" s="17" t="n">
        <f aca="false">(E4-E3)/E3</f>
        <v>0.164921465968586</v>
      </c>
      <c r="I4" s="14" t="s">
        <v>31</v>
      </c>
      <c r="J4" s="18" t="n">
        <f aca="false">CORREL(F3:F93,G3:G93)</f>
        <v>0.28310299730823</v>
      </c>
      <c r="K4" s="14"/>
    </row>
    <row r="5" customFormat="false" ht="14.25" hidden="false" customHeight="false" outlineLevel="0" collapsed="false">
      <c r="A5" s="15" t="n">
        <f aca="false">EDATE(A4,1)</f>
        <v>43556</v>
      </c>
      <c r="B5" s="14" t="n">
        <f aca="false">VLOOKUP(A5,'Price Data'!$A$2:$F$150,6,FALSE())</f>
        <v>220.51</v>
      </c>
      <c r="C5" s="14" t="n">
        <f aca="false">VLOOKUP(A5,'Price Data'!$X$2:$AC$150,6,FALSE())</f>
        <v>1.1185</v>
      </c>
      <c r="D5" s="16" t="n">
        <f aca="false">B5*C5</f>
        <v>246.640435</v>
      </c>
      <c r="E5" s="14" t="n">
        <f aca="false">SUMIFS('Price Data'!$Q$2:$Q$150,'Price Data'!$L$2:$L$150,A5)</f>
        <v>4.48</v>
      </c>
      <c r="F5" s="17" t="n">
        <f aca="false">(D5-D4)/D4</f>
        <v>0.0340871919366128</v>
      </c>
      <c r="G5" s="17" t="n">
        <f aca="false">(E5-E4)/E4</f>
        <v>0.00674157303370792</v>
      </c>
      <c r="I5" s="14" t="s">
        <v>32</v>
      </c>
      <c r="J5" s="17" t="n">
        <v>0.003</v>
      </c>
      <c r="K5" s="14"/>
    </row>
    <row r="6" customFormat="false" ht="14.25" hidden="false" customHeight="false" outlineLevel="0" collapsed="false">
      <c r="A6" s="15" t="n">
        <f aca="false">EDATE(A5,1)</f>
        <v>43586</v>
      </c>
      <c r="B6" s="14" t="n">
        <f aca="false">VLOOKUP(A6,'Price Data'!$A$2:$F$150,6,FALSE())</f>
        <v>216.28</v>
      </c>
      <c r="C6" s="14" t="n">
        <f aca="false">VLOOKUP(A6,'Price Data'!$X$2:$AC$150,6,FALSE())</f>
        <v>1.1131</v>
      </c>
      <c r="D6" s="16" t="n">
        <f aca="false">B6*C6</f>
        <v>240.741268</v>
      </c>
      <c r="E6" s="14" t="n">
        <f aca="false">SUMIFS('Price Data'!$Q$2:$Q$150,'Price Data'!$L$2:$L$150,A6)</f>
        <v>3.36</v>
      </c>
      <c r="F6" s="17" t="n">
        <f aca="false">(D6-D5)/D5</f>
        <v>-0.0239180854509927</v>
      </c>
      <c r="G6" s="17" t="n">
        <f aca="false">(E6-E5)/E5</f>
        <v>-0.25</v>
      </c>
    </row>
    <row r="7" customFormat="false" ht="14.25" hidden="false" customHeight="false" outlineLevel="0" collapsed="false">
      <c r="A7" s="15" t="n">
        <f aca="false">EDATE(A6,1)</f>
        <v>43617</v>
      </c>
      <c r="B7" s="14" t="n">
        <f aca="false">VLOOKUP(A7,'Price Data'!$A$2:$F$150,6,FALSE())</f>
        <v>225.36</v>
      </c>
      <c r="C7" s="14" t="n">
        <f aca="false">VLOOKUP(A7,'Price Data'!$X$2:$AC$150,6,FALSE())</f>
        <v>1.1391</v>
      </c>
      <c r="D7" s="16" t="n">
        <f aca="false">B7*C7</f>
        <v>256.707576</v>
      </c>
      <c r="E7" s="14" t="n">
        <f aca="false">SUMIFS('Price Data'!$Q$2:$Q$150,'Price Data'!$L$2:$L$150,A7)</f>
        <v>4.07</v>
      </c>
      <c r="F7" s="17" t="n">
        <f aca="false">(D7-D6)/D6</f>
        <v>0.0663214418227623</v>
      </c>
      <c r="G7" s="17" t="n">
        <f aca="false">(E7-E6)/E6</f>
        <v>0.211309523809524</v>
      </c>
    </row>
    <row r="8" customFormat="false" ht="14.25" hidden="false" customHeight="false" outlineLevel="0" collapsed="false">
      <c r="A8" s="15" t="n">
        <f aca="false">EDATE(A7,1)</f>
        <v>43647</v>
      </c>
      <c r="B8" s="14" t="n">
        <f aca="false">VLOOKUP(A8,'Price Data'!$A$2:$F$150,6,FALSE())</f>
        <v>217.72</v>
      </c>
      <c r="C8" s="14" t="n">
        <f aca="false">VLOOKUP(A8,'Price Data'!$X$2:$AC$150,6,FALSE())</f>
        <v>1.1158</v>
      </c>
      <c r="D8" s="16" t="n">
        <f aca="false">B8*C8</f>
        <v>242.931976</v>
      </c>
      <c r="E8" s="14" t="n">
        <f aca="false">SUMIFS('Price Data'!$Q$2:$Q$150,'Price Data'!$L$2:$L$150,A8)</f>
        <v>4.18</v>
      </c>
      <c r="F8" s="17" t="n">
        <f aca="false">(D8-D7)/D7</f>
        <v>-0.0536626157071423</v>
      </c>
      <c r="G8" s="17" t="n">
        <f aca="false">(E8-E7)/E7</f>
        <v>0.0270270270270269</v>
      </c>
      <c r="I8" s="14" t="s">
        <v>33</v>
      </c>
      <c r="J8" s="14" t="s">
        <v>34</v>
      </c>
      <c r="K8" s="14" t="s">
        <v>35</v>
      </c>
      <c r="L8" s="14" t="s">
        <v>36</v>
      </c>
      <c r="M8" s="14" t="s">
        <v>37</v>
      </c>
      <c r="N8" s="14" t="s">
        <v>38</v>
      </c>
    </row>
    <row r="9" customFormat="false" ht="14.25" hidden="false" customHeight="false" outlineLevel="0" collapsed="false">
      <c r="A9" s="15" t="n">
        <f aca="false">EDATE(A8,1)</f>
        <v>43678</v>
      </c>
      <c r="B9" s="14" t="n">
        <f aca="false">VLOOKUP(A9,'Price Data'!$A$2:$F$150,6,FALSE())</f>
        <v>223.65</v>
      </c>
      <c r="C9" s="14" t="n">
        <f aca="false">VLOOKUP(A9,'Price Data'!$X$2:$AC$150,6,FALSE())</f>
        <v>1.1012</v>
      </c>
      <c r="D9" s="16" t="n">
        <f aca="false">B9*C9</f>
        <v>246.28338</v>
      </c>
      <c r="E9" s="14" t="n">
        <f aca="false">SUMIFS('Price Data'!$Q$2:$Q$150,'Price Data'!$L$2:$L$150,A9)</f>
        <v>4.16</v>
      </c>
      <c r="F9" s="17" t="n">
        <f aca="false">(D9-D8)/D8</f>
        <v>0.0137956478812818</v>
      </c>
      <c r="G9" s="17" t="n">
        <f aca="false">(E9-E8)/E8</f>
        <v>-0.00478468899521521</v>
      </c>
      <c r="I9" s="19" t="n">
        <v>0</v>
      </c>
      <c r="J9" s="17" t="n">
        <f aca="false">1-I9</f>
        <v>1</v>
      </c>
      <c r="K9" s="17" t="n">
        <f aca="false">I9*$J$2+J9*$K$2</f>
        <v>0.0548806607569931</v>
      </c>
      <c r="L9" s="20" t="n">
        <f aca="false">I9^2*$J$3^2+J9^2*$K$3^2+2*I9*J9*$J$3*$K$3*$J$4</f>
        <v>0.0175206866950344</v>
      </c>
      <c r="M9" s="17" t="n">
        <f aca="false">SQRT(L9)</f>
        <v>0.132365730818193</v>
      </c>
      <c r="N9" s="21" t="n">
        <f aca="false">(K9-$J$5)/M9</f>
        <v>0.391949339427227</v>
      </c>
    </row>
    <row r="10" customFormat="false" ht="14.25" hidden="false" customHeight="false" outlineLevel="0" collapsed="false">
      <c r="A10" s="15" t="n">
        <f aca="false">EDATE(A9,1)</f>
        <v>43709</v>
      </c>
      <c r="B10" s="14" t="n">
        <f aca="false">VLOOKUP(A10,'Price Data'!$A$2:$F$150,6,FALSE())</f>
        <v>231.12</v>
      </c>
      <c r="C10" s="14" t="n">
        <f aca="false">VLOOKUP(A10,'Price Data'!$X$2:$AC$150,6,FALSE())</f>
        <v>1.0943</v>
      </c>
      <c r="D10" s="16" t="n">
        <f aca="false">B10*C10</f>
        <v>252.914616</v>
      </c>
      <c r="E10" s="14" t="n">
        <f aca="false">SUMIFS('Price Data'!$Q$2:$Q$150,'Price Data'!$L$2:$L$150,A10)</f>
        <v>4.32</v>
      </c>
      <c r="F10" s="17" t="n">
        <f aca="false">(D10-D9)/D9</f>
        <v>0.0269252273539531</v>
      </c>
      <c r="G10" s="17" t="n">
        <f aca="false">(E10-E9)/E9</f>
        <v>0.0384615384615385</v>
      </c>
      <c r="I10" s="19" t="n">
        <f aca="false">I9+5%</f>
        <v>0.05</v>
      </c>
      <c r="J10" s="17" t="n">
        <f aca="false">1-I10</f>
        <v>0.95</v>
      </c>
      <c r="K10" s="17" t="n">
        <f aca="false">I10*$J$2+J10*$K$2</f>
        <v>0.0526535676921657</v>
      </c>
      <c r="L10" s="20" t="n">
        <f aca="false">I10^2*$J$3^2+J10^2*$K$3^2+2*I10*J10*$J$3*$K$3*$J$4</f>
        <v>0.0160630997842508</v>
      </c>
      <c r="M10" s="17" t="n">
        <f aca="false">SQRT(L10)</f>
        <v>0.126740284772643</v>
      </c>
      <c r="N10" s="21" t="n">
        <f aca="false">(K10-$J$5)/M10</f>
        <v>0.39177415279789</v>
      </c>
    </row>
    <row r="11" customFormat="false" ht="14.25" hidden="false" customHeight="false" outlineLevel="0" collapsed="false">
      <c r="A11" s="15" t="n">
        <f aca="false">EDATE(A10,1)</f>
        <v>43739</v>
      </c>
      <c r="B11" s="14" t="n">
        <f aca="false">VLOOKUP(A11,'Price Data'!$A$2:$F$150,6,FALSE())</f>
        <v>235.53</v>
      </c>
      <c r="C11" s="14" t="n">
        <f aca="false">VLOOKUP(A11,'Price Data'!$X$2:$AC$150,6,FALSE())</f>
        <v>1.1154</v>
      </c>
      <c r="D11" s="16" t="n">
        <f aca="false">B11*C11</f>
        <v>262.710162</v>
      </c>
      <c r="E11" s="14" t="n">
        <f aca="false">SUMIFS('Price Data'!$Q$2:$Q$150,'Price Data'!$L$2:$L$150,A11)</f>
        <v>4.99</v>
      </c>
      <c r="F11" s="17" t="n">
        <f aca="false">(D11-D10)/D10</f>
        <v>0.0387306441791405</v>
      </c>
      <c r="G11" s="17" t="n">
        <f aca="false">(E11-E10)/E10</f>
        <v>0.155092592592593</v>
      </c>
      <c r="I11" s="19" t="n">
        <f aca="false">I10+5%</f>
        <v>0.1</v>
      </c>
      <c r="J11" s="17" t="n">
        <f aca="false">1-I11</f>
        <v>0.9</v>
      </c>
      <c r="K11" s="17" t="n">
        <f aca="false">I11*$J$2+J11*$K$2</f>
        <v>0.0504264746273383</v>
      </c>
      <c r="L11" s="20" t="n">
        <f aca="false">I11^2*$J$3^2+J11^2*$K$3^2+2*I11*J11*$J$3*$K$3*$J$4</f>
        <v>0.0146905259253434</v>
      </c>
      <c r="M11" s="17" t="n">
        <f aca="false">SQRT(L11)</f>
        <v>0.121204479807239</v>
      </c>
      <c r="N11" s="21" t="n">
        <f aca="false">(K11-$J$5)/M11</f>
        <v>0.391293083413785</v>
      </c>
    </row>
    <row r="12" customFormat="false" ht="14.25" hidden="false" customHeight="false" outlineLevel="0" collapsed="false">
      <c r="A12" s="15" t="n">
        <f aca="false">EDATE(A11,1)</f>
        <v>43770</v>
      </c>
      <c r="B12" s="14" t="n">
        <f aca="false">VLOOKUP(A12,'Price Data'!$A$2:$F$150,6,FALSE())</f>
        <v>232.74</v>
      </c>
      <c r="C12" s="14" t="n">
        <f aca="false">VLOOKUP(A12,'Price Data'!$X$2:$AC$150,6,FALSE())</f>
        <v>1.102</v>
      </c>
      <c r="D12" s="16" t="n">
        <f aca="false">B12*C12</f>
        <v>256.47948</v>
      </c>
      <c r="E12" s="14" t="n">
        <f aca="false">SUMIFS('Price Data'!$Q$2:$Q$150,'Price Data'!$L$2:$L$150,A12)</f>
        <v>5.38</v>
      </c>
      <c r="F12" s="17" t="n">
        <f aca="false">(D12-D11)/D11</f>
        <v>-0.0237169432372393</v>
      </c>
      <c r="G12" s="17" t="n">
        <f aca="false">(E12-E11)/E11</f>
        <v>0.0781563126252504</v>
      </c>
      <c r="I12" s="19" t="n">
        <f aca="false">I11+5%</f>
        <v>0.15</v>
      </c>
      <c r="J12" s="17" t="n">
        <f aca="false">1-I12</f>
        <v>0.85</v>
      </c>
      <c r="K12" s="17" t="n">
        <f aca="false">I12*$J$2+J12*$K$2</f>
        <v>0.0481993815625109</v>
      </c>
      <c r="L12" s="20" t="n">
        <f aca="false">I12^2*$J$3^2+J12^2*$K$3^2+2*I12*J12*$J$3*$K$3*$J$4</f>
        <v>0.0134029651183122</v>
      </c>
      <c r="M12" s="17" t="n">
        <f aca="false">SQRT(L12)</f>
        <v>0.115771175679926</v>
      </c>
      <c r="N12" s="21" t="n">
        <f aca="false">(K12-$J$5)/M12</f>
        <v>0.390419992688632</v>
      </c>
    </row>
    <row r="13" customFormat="false" ht="14.25" hidden="false" customHeight="false" outlineLevel="0" collapsed="false">
      <c r="A13" s="15" t="n">
        <f aca="false">EDATE(A12,1)</f>
        <v>43800</v>
      </c>
      <c r="B13" s="14" t="n">
        <f aca="false">VLOOKUP(A13,'Price Data'!$A$2:$F$150,6,FALSE())</f>
        <v>237.51</v>
      </c>
      <c r="C13" s="14" t="n">
        <f aca="false">VLOOKUP(A13,'Price Data'!$X$2:$AC$150,6,FALSE())</f>
        <v>1.1202</v>
      </c>
      <c r="D13" s="16" t="n">
        <f aca="false">B13*C13</f>
        <v>266.058702</v>
      </c>
      <c r="E13" s="14" t="n">
        <f aca="false">SUMIFS('Price Data'!$Q$2:$Q$150,'Price Data'!$L$2:$L$150,A13)</f>
        <v>5.84</v>
      </c>
      <c r="F13" s="17" t="n">
        <f aca="false">(D13-D12)/D12</f>
        <v>0.0373488826474537</v>
      </c>
      <c r="G13" s="17" t="n">
        <f aca="false">(E13-E12)/E12</f>
        <v>0.0855018587360595</v>
      </c>
      <c r="I13" s="19" t="n">
        <f aca="false">I12+5%</f>
        <v>0.2</v>
      </c>
      <c r="J13" s="17" t="n">
        <f aca="false">1-I13</f>
        <v>0.8</v>
      </c>
      <c r="K13" s="17" t="n">
        <f aca="false">I13*$J$2+J13*$K$2</f>
        <v>0.0459722884976835</v>
      </c>
      <c r="L13" s="20" t="n">
        <f aca="false">I13^2*$J$3^2+J13^2*$K$3^2+2*I13*J13*$J$3*$K$3*$J$4</f>
        <v>0.0122004173631573</v>
      </c>
      <c r="M13" s="17" t="n">
        <f aca="false">SQRT(L13)</f>
        <v>0.110455499469955</v>
      </c>
      <c r="N13" s="21" t="n">
        <f aca="false">(K13-$J$5)/M13</f>
        <v>0.389046165233015</v>
      </c>
    </row>
    <row r="14" customFormat="false" ht="14.25" hidden="false" customHeight="false" outlineLevel="0" collapsed="false">
      <c r="A14" s="15" t="n">
        <f aca="false">EDATE(A13,1)</f>
        <v>43831</v>
      </c>
      <c r="B14" s="14" t="n">
        <f aca="false">VLOOKUP(A14,'Price Data'!$A$2:$F$150,6,FALSE())</f>
        <v>226.62</v>
      </c>
      <c r="C14" s="14" t="n">
        <f aca="false">VLOOKUP(A14,'Price Data'!$X$2:$AC$150,6,FALSE())</f>
        <v>1.1029</v>
      </c>
      <c r="D14" s="16" t="n">
        <f aca="false">B14*C14</f>
        <v>249.939198</v>
      </c>
      <c r="E14" s="14" t="n">
        <f aca="false">SUMIFS('Price Data'!$Q$2:$Q$150,'Price Data'!$L$2:$L$150,A14)</f>
        <v>5.87</v>
      </c>
      <c r="F14" s="17" t="n">
        <f aca="false">(D14-D13)/D13</f>
        <v>-0.0605862686648752</v>
      </c>
      <c r="G14" s="17" t="n">
        <f aca="false">(E14-E13)/E13</f>
        <v>0.00513698630136991</v>
      </c>
      <c r="I14" s="19" t="n">
        <f aca="false">I13+5%</f>
        <v>0.25</v>
      </c>
      <c r="J14" s="17" t="n">
        <f aca="false">1-I14</f>
        <v>0.75</v>
      </c>
      <c r="K14" s="17" t="n">
        <f aca="false">I14*$J$2+J14*$K$2</f>
        <v>0.0437451954328562</v>
      </c>
      <c r="L14" s="20" t="n">
        <f aca="false">I14^2*$J$3^2+J14^2*$K$3^2+2*I14*J14*$J$3*$K$3*$J$4</f>
        <v>0.0110828826598787</v>
      </c>
      <c r="M14" s="17" t="n">
        <f aca="false">SQRT(L14)</f>
        <v>0.105275270884851</v>
      </c>
      <c r="N14" s="21" t="n">
        <f aca="false">(K14-$J$5)/M14</f>
        <v>0.387034819197216</v>
      </c>
    </row>
    <row r="15" customFormat="false" ht="14.25" hidden="false" customHeight="false" outlineLevel="0" collapsed="false">
      <c r="A15" s="15" t="n">
        <f aca="false">EDATE(A14,1)</f>
        <v>43862</v>
      </c>
      <c r="B15" s="14" t="n">
        <f aca="false">VLOOKUP(A15,'Price Data'!$A$2:$F$150,6,FALSE())</f>
        <v>216.82</v>
      </c>
      <c r="C15" s="14" t="n">
        <f aca="false">VLOOKUP(A15,'Price Data'!$X$2:$AC$150,6,FALSE())</f>
        <v>1.103</v>
      </c>
      <c r="D15" s="16" t="n">
        <f aca="false">B15*C15</f>
        <v>239.15246</v>
      </c>
      <c r="E15" s="14" t="n">
        <f aca="false">SUMIFS('Price Data'!$Q$2:$Q$150,'Price Data'!$L$2:$L$150,A15)</f>
        <v>6.71</v>
      </c>
      <c r="F15" s="17" t="n">
        <f aca="false">(D15-D14)/D14</f>
        <v>-0.0431574482366708</v>
      </c>
      <c r="G15" s="17" t="n">
        <f aca="false">(E15-E14)/E14</f>
        <v>0.143100511073254</v>
      </c>
      <c r="I15" s="19" t="n">
        <f aca="false">I14+5%</f>
        <v>0.3</v>
      </c>
      <c r="J15" s="17" t="n">
        <f aca="false">1-I15</f>
        <v>0.7</v>
      </c>
      <c r="K15" s="17" t="n">
        <f aca="false">I15*$J$2+J15*$K$2</f>
        <v>0.0415181023680288</v>
      </c>
      <c r="L15" s="20" t="n">
        <f aca="false">I15^2*$J$3^2+J15^2*$K$3^2+2*I15*J15*$J$3*$K$3*$J$4</f>
        <v>0.0100503610084763</v>
      </c>
      <c r="M15" s="17" t="n">
        <f aca="false">SQRT(L15)</f>
        <v>0.100251488809276</v>
      </c>
      <c r="N15" s="21" t="n">
        <f aca="false">(K15-$J$5)/M15</f>
        <v>0.384214766538858</v>
      </c>
    </row>
    <row r="16" customFormat="false" ht="14.25" hidden="false" customHeight="false" outlineLevel="0" collapsed="false">
      <c r="A16" s="15" t="n">
        <f aca="false">EDATE(A15,1)</f>
        <v>43891</v>
      </c>
      <c r="B16" s="14" t="n">
        <f aca="false">VLOOKUP(A16,'Price Data'!$A$2:$F$150,6,FALSE())</f>
        <v>214.93</v>
      </c>
      <c r="C16" s="14" t="n">
        <f aca="false">VLOOKUP(A16,'Price Data'!$X$2:$AC$150,6,FALSE())</f>
        <v>1.103</v>
      </c>
      <c r="D16" s="16" t="n">
        <f aca="false">B16*C16</f>
        <v>237.06779</v>
      </c>
      <c r="E16" s="14" t="n">
        <f aca="false">SUMIFS('Price Data'!$Q$2:$Q$150,'Price Data'!$L$2:$L$150,A16)</f>
        <v>6.55</v>
      </c>
      <c r="F16" s="17" t="n">
        <f aca="false">(D16-D15)/D15</f>
        <v>-0.00871690803431413</v>
      </c>
      <c r="G16" s="17" t="n">
        <f aca="false">(E16-E15)/E15</f>
        <v>-0.0238450074515649</v>
      </c>
      <c r="I16" s="19" t="n">
        <f aca="false">I15+5%</f>
        <v>0.35</v>
      </c>
      <c r="J16" s="17" t="n">
        <f aca="false">1-I16</f>
        <v>0.65</v>
      </c>
      <c r="K16" s="17" t="n">
        <f aca="false">I16*$J$2+J16*$K$2</f>
        <v>0.0392910093032014</v>
      </c>
      <c r="L16" s="20" t="n">
        <f aca="false">I16^2*$J$3^2+J16^2*$K$3^2+2*I16*J16*$J$3*$K$3*$J$4</f>
        <v>0.0091028524089502</v>
      </c>
      <c r="M16" s="17" t="n">
        <f aca="false">SQRT(L16)</f>
        <v>0.0954088696555525</v>
      </c>
      <c r="N16" s="21" t="n">
        <f aca="false">(K16-$J$5)/M16</f>
        <v>0.38037353795533</v>
      </c>
    </row>
    <row r="17" customFormat="false" ht="14.25" hidden="false" customHeight="false" outlineLevel="0" collapsed="false">
      <c r="A17" s="15" t="n">
        <f aca="false">EDATE(A16,1)</f>
        <v>43922</v>
      </c>
      <c r="B17" s="14" t="n">
        <f aca="false">VLOOKUP(A17,'Price Data'!$A$2:$F$150,6,FALSE())</f>
        <v>238.68</v>
      </c>
      <c r="C17" s="14" t="n">
        <f aca="false">VLOOKUP(A17,'Price Data'!$X$2:$AC$150,6,FALSE())</f>
        <v>1.0877</v>
      </c>
      <c r="D17" s="16" t="n">
        <f aca="false">B17*C17</f>
        <v>259.612236</v>
      </c>
      <c r="E17" s="14" t="n">
        <f aca="false">SUMIFS('Price Data'!$Q$2:$Q$150,'Price Data'!$L$2:$L$150,A17)</f>
        <v>7.26</v>
      </c>
      <c r="F17" s="17" t="n">
        <f aca="false">(D17-D16)/D16</f>
        <v>0.0950970437611959</v>
      </c>
      <c r="G17" s="17" t="n">
        <f aca="false">(E17-E16)/E16</f>
        <v>0.108396946564886</v>
      </c>
      <c r="I17" s="19" t="n">
        <f aca="false">I16+5%</f>
        <v>0.4</v>
      </c>
      <c r="J17" s="17" t="n">
        <f aca="false">1-I17</f>
        <v>0.6</v>
      </c>
      <c r="K17" s="17" t="n">
        <f aca="false">I17*$J$2+J17*$K$2</f>
        <v>0.037063916238374</v>
      </c>
      <c r="L17" s="20" t="n">
        <f aca="false">I17^2*$J$3^2+J17^2*$K$3^2+2*I17*J17*$J$3*$K$3*$J$4</f>
        <v>0.00824035686130033</v>
      </c>
      <c r="M17" s="17" t="n">
        <f aca="false">SQRT(L17)</f>
        <v>0.0907764113704675</v>
      </c>
      <c r="N17" s="21" t="n">
        <f aca="false">(K17-$J$5)/M17</f>
        <v>0.375250747678886</v>
      </c>
    </row>
    <row r="18" customFormat="false" ht="14.25" hidden="false" customHeight="false" outlineLevel="0" collapsed="false">
      <c r="A18" s="15" t="n">
        <f aca="false">EDATE(A17,1)</f>
        <v>43952</v>
      </c>
      <c r="B18" s="14" t="n">
        <f aca="false">VLOOKUP(A18,'Price Data'!$A$2:$F$150,6,FALSE())</f>
        <v>235.62</v>
      </c>
      <c r="C18" s="14" t="n">
        <f aca="false">VLOOKUP(A18,'Price Data'!$X$2:$AC$150,6,FALSE())</f>
        <v>1.111</v>
      </c>
      <c r="D18" s="16" t="n">
        <f aca="false">B18*C18</f>
        <v>261.77382</v>
      </c>
      <c r="E18" s="14" t="n">
        <f aca="false">SUMIFS('Price Data'!$Q$2:$Q$150,'Price Data'!$L$2:$L$150,A18)</f>
        <v>8.82</v>
      </c>
      <c r="F18" s="17" t="n">
        <f aca="false">(D18-D17)/D17</f>
        <v>0.00832620231351501</v>
      </c>
      <c r="G18" s="17" t="n">
        <f aca="false">(E18-E17)/E17</f>
        <v>0.214876033057851</v>
      </c>
      <c r="I18" s="19" t="n">
        <f aca="false">I17+5%</f>
        <v>0.45</v>
      </c>
      <c r="J18" s="17" t="n">
        <f aca="false">1-I18</f>
        <v>0.55</v>
      </c>
      <c r="K18" s="17" t="n">
        <f aca="false">I18*$J$2+J18*$K$2</f>
        <v>0.0348368231735466</v>
      </c>
      <c r="L18" s="20" t="n">
        <f aca="false">I18^2*$J$3^2+J18^2*$K$3^2+2*I18*J18*$J$3*$K$3*$J$4</f>
        <v>0.00746287436552672</v>
      </c>
      <c r="M18" s="17" t="n">
        <f aca="false">SQRT(L18)</f>
        <v>0.0863879295129054</v>
      </c>
      <c r="N18" s="21" t="n">
        <f aca="false">(K18-$J$5)/M18</f>
        <v>0.368533235523263</v>
      </c>
    </row>
    <row r="19" customFormat="false" ht="14.25" hidden="false" customHeight="false" outlineLevel="0" collapsed="false">
      <c r="A19" s="15" t="n">
        <f aca="false">EDATE(A18,1)</f>
        <v>43983</v>
      </c>
      <c r="B19" s="14" t="n">
        <f aca="false">VLOOKUP(A19,'Price Data'!$A$2:$F$150,6,FALSE())</f>
        <v>257.03</v>
      </c>
      <c r="C19" s="14" t="n">
        <f aca="false">VLOOKUP(A19,'Price Data'!$X$2:$AC$150,6,FALSE())</f>
        <v>1.1247</v>
      </c>
      <c r="D19" s="16" t="n">
        <f aca="false">B19*C19</f>
        <v>289.081641</v>
      </c>
      <c r="E19" s="14" t="n">
        <f aca="false">SUMIFS('Price Data'!$Q$2:$Q$150,'Price Data'!$L$2:$L$150,A19)</f>
        <v>9.44</v>
      </c>
      <c r="F19" s="17" t="n">
        <f aca="false">(D19-D18)/D18</f>
        <v>0.104318380653955</v>
      </c>
      <c r="G19" s="17" t="n">
        <f aca="false">(E19-E18)/E18</f>
        <v>0.0702947845804988</v>
      </c>
      <c r="I19" s="19" t="n">
        <f aca="false">I18+5%</f>
        <v>0.5</v>
      </c>
      <c r="J19" s="17" t="n">
        <f aca="false">1-I19</f>
        <v>0.5</v>
      </c>
      <c r="K19" s="17" t="n">
        <f aca="false">I19*$J$2+J19*$K$2</f>
        <v>0.0326097301087193</v>
      </c>
      <c r="L19" s="20" t="n">
        <f aca="false">I19^2*$J$3^2+J19^2*$K$3^2+2*I19*J19*$J$3*$K$3*$J$4</f>
        <v>0.00677040492162935</v>
      </c>
      <c r="M19" s="17" t="n">
        <f aca="false">SQRT(L19)</f>
        <v>0.0822824703179806</v>
      </c>
      <c r="N19" s="21" t="n">
        <f aca="false">(K19-$J$5)/M19</f>
        <v>0.359854656700175</v>
      </c>
    </row>
    <row r="20" customFormat="false" ht="14.25" hidden="false" customHeight="false" outlineLevel="0" collapsed="false">
      <c r="A20" s="15" t="n">
        <f aca="false">EDATE(A19,1)</f>
        <v>44013</v>
      </c>
      <c r="B20" s="14" t="n">
        <f aca="false">VLOOKUP(A20,'Price Data'!$A$2:$F$150,6,FALSE())</f>
        <v>257.95</v>
      </c>
      <c r="C20" s="14" t="n">
        <f aca="false">VLOOKUP(A20,'Price Data'!$X$2:$AC$150,6,FALSE())</f>
        <v>1.1872</v>
      </c>
      <c r="D20" s="16" t="n">
        <f aca="false">B20*C20</f>
        <v>306.23824</v>
      </c>
      <c r="E20" s="14" t="n">
        <f aca="false">SUMIFS('Price Data'!$Q$2:$Q$150,'Price Data'!$L$2:$L$150,A20)</f>
        <v>10.55</v>
      </c>
      <c r="F20" s="17" t="n">
        <f aca="false">(D20-D19)/D19</f>
        <v>0.0593486287840743</v>
      </c>
      <c r="G20" s="17" t="n">
        <f aca="false">(E20-E19)/E19</f>
        <v>0.117584745762712</v>
      </c>
      <c r="I20" s="19" t="n">
        <f aca="false">I19+5%</f>
        <v>0.55</v>
      </c>
      <c r="J20" s="17" t="n">
        <f aca="false">1-I20</f>
        <v>0.45</v>
      </c>
      <c r="K20" s="17" t="n">
        <f aca="false">I20*$J$2+J20*$K$2</f>
        <v>0.0303826370438919</v>
      </c>
      <c r="L20" s="20" t="n">
        <f aca="false">I20^2*$J$3^2+J20^2*$K$3^2+2*I20*J20*$J$3*$K$3*$J$4</f>
        <v>0.00616294852960825</v>
      </c>
      <c r="M20" s="17" t="n">
        <f aca="false">SQRT(L20)</f>
        <v>0.0785044491070936</v>
      </c>
      <c r="N20" s="21" t="n">
        <f aca="false">(K20-$J$5)/M20</f>
        <v>0.348803632855728</v>
      </c>
    </row>
    <row r="21" customFormat="false" ht="14.25" hidden="false" customHeight="false" outlineLevel="0" collapsed="false">
      <c r="A21" s="15" t="n">
        <f aca="false">EDATE(A20,1)</f>
        <v>44044</v>
      </c>
      <c r="B21" s="14" t="n">
        <f aca="false">VLOOKUP(A21,'Price Data'!$A$2:$F$150,6,FALSE())</f>
        <v>252.39</v>
      </c>
      <c r="C21" s="14" t="n">
        <f aca="false">VLOOKUP(A21,'Price Data'!$X$2:$AC$150,6,FALSE())</f>
        <v>1.1918</v>
      </c>
      <c r="D21" s="16" t="n">
        <f aca="false">B21*C21</f>
        <v>300.798402</v>
      </c>
      <c r="E21" s="14" t="n">
        <f aca="false">SUMIFS('Price Data'!$Q$2:$Q$150,'Price Data'!$L$2:$L$150,A21)</f>
        <v>13.3</v>
      </c>
      <c r="F21" s="17" t="n">
        <f aca="false">(D21-D20)/D20</f>
        <v>-0.017763418441799</v>
      </c>
      <c r="G21" s="17" t="n">
        <f aca="false">(E21-E20)/E20</f>
        <v>0.260663507109005</v>
      </c>
      <c r="I21" s="19" t="n">
        <f aca="false">I20+5%</f>
        <v>0.6</v>
      </c>
      <c r="J21" s="17" t="n">
        <f aca="false">1-I21</f>
        <v>0.4</v>
      </c>
      <c r="K21" s="17" t="n">
        <f aca="false">I21*$J$2+J21*$K$2</f>
        <v>0.0281555439790645</v>
      </c>
      <c r="L21" s="20" t="n">
        <f aca="false">I21^2*$J$3^2+J21^2*$K$3^2+2*I21*J21*$J$3*$K$3*$J$4</f>
        <v>0.00564050518946339</v>
      </c>
      <c r="M21" s="17" t="n">
        <f aca="false">SQRT(L21)</f>
        <v>0.0751032967949037</v>
      </c>
      <c r="N21" s="21" t="n">
        <f aca="false">(K21-$J$5)/M21</f>
        <v>0.33494593516661</v>
      </c>
    </row>
    <row r="22" customFormat="false" ht="14.25" hidden="false" customHeight="false" outlineLevel="0" collapsed="false">
      <c r="A22" s="15" t="n">
        <f aca="false">EDATE(A21,1)</f>
        <v>44075</v>
      </c>
      <c r="B22" s="14" t="n">
        <f aca="false">VLOOKUP(A22,'Price Data'!$A$2:$F$150,6,FALSE())</f>
        <v>253.03</v>
      </c>
      <c r="C22" s="14" t="n">
        <f aca="false">VLOOKUP(A22,'Price Data'!$X$2:$AC$150,6,FALSE())</f>
        <v>1.1742</v>
      </c>
      <c r="D22" s="16" t="n">
        <f aca="false">B22*C22</f>
        <v>297.107826</v>
      </c>
      <c r="E22" s="14" t="n">
        <f aca="false">SUMIFS('Price Data'!$Q$2:$Q$150,'Price Data'!$L$2:$L$150,A22)</f>
        <v>13.46</v>
      </c>
      <c r="F22" s="17" t="n">
        <f aca="false">(D22-D21)/D21</f>
        <v>-0.012269267308142</v>
      </c>
      <c r="G22" s="17" t="n">
        <f aca="false">(E22-E21)/E21</f>
        <v>0.0120300751879699</v>
      </c>
      <c r="I22" s="19" t="n">
        <f aca="false">I21+5%</f>
        <v>0.65</v>
      </c>
      <c r="J22" s="17" t="n">
        <f aca="false">1-I22</f>
        <v>0.35</v>
      </c>
      <c r="K22" s="17" t="n">
        <f aca="false">I22*$J$2+J22*$K$2</f>
        <v>0.0259284509142371</v>
      </c>
      <c r="L22" s="20" t="n">
        <f aca="false">I22^2*$J$3^2+J22^2*$K$3^2+2*I22*J22*$J$3*$K$3*$J$4</f>
        <v>0.00520307490119479</v>
      </c>
      <c r="M22" s="17" t="n">
        <f aca="false">SQRT(L22)</f>
        <v>0.0721323429620499</v>
      </c>
      <c r="N22" s="21" t="n">
        <f aca="false">(K22-$J$5)/M22</f>
        <v>0.317866437893196</v>
      </c>
    </row>
    <row r="23" customFormat="false" ht="14.25" hidden="false" customHeight="false" outlineLevel="0" collapsed="false">
      <c r="A23" s="15" t="n">
        <f aca="false">EDATE(A22,1)</f>
        <v>44105</v>
      </c>
      <c r="B23" s="14" t="n">
        <f aca="false">VLOOKUP(A23,'Price Data'!$A$2:$F$150,6,FALSE())</f>
        <v>253.12</v>
      </c>
      <c r="C23" s="14" t="n">
        <f aca="false">VLOOKUP(A23,'Price Data'!$X$2:$AC$150,6,FALSE())</f>
        <v>1.1677</v>
      </c>
      <c r="D23" s="16" t="n">
        <f aca="false">B23*C23</f>
        <v>295.568224</v>
      </c>
      <c r="E23" s="14" t="n">
        <f aca="false">SUMIFS('Price Data'!$Q$2:$Q$150,'Price Data'!$L$2:$L$150,A23)</f>
        <v>12.47</v>
      </c>
      <c r="F23" s="17" t="n">
        <f aca="false">(D23-D22)/D22</f>
        <v>-0.0051819638032692</v>
      </c>
      <c r="G23" s="17" t="n">
        <f aca="false">(E23-E22)/E22</f>
        <v>-0.0735512630014859</v>
      </c>
      <c r="I23" s="19" t="n">
        <f aca="false">I22+5%</f>
        <v>0.7</v>
      </c>
      <c r="J23" s="17" t="n">
        <f aca="false">1-I23</f>
        <v>0.3</v>
      </c>
      <c r="K23" s="17" t="n">
        <f aca="false">I23*$J$2+J23*$K$2</f>
        <v>0.0237013578494097</v>
      </c>
      <c r="L23" s="20" t="n">
        <f aca="false">I23^2*$J$3^2+J23^2*$K$3^2+2*I23*J23*$J$3*$K$3*$J$4</f>
        <v>0.00485065766480245</v>
      </c>
      <c r="M23" s="17" t="n">
        <f aca="false">SQRT(L23)</f>
        <v>0.0696466629839682</v>
      </c>
      <c r="N23" s="21" t="n">
        <f aca="false">(K23-$J$5)/M23</f>
        <v>0.297234023318173</v>
      </c>
    </row>
    <row r="24" customFormat="false" ht="14.25" hidden="false" customHeight="false" outlineLevel="0" collapsed="false">
      <c r="A24" s="15" t="n">
        <f aca="false">EDATE(A23,1)</f>
        <v>44136</v>
      </c>
      <c r="B24" s="14" t="n">
        <f aca="false">VLOOKUP(A24,'Price Data'!$A$2:$F$150,6,FALSE())</f>
        <v>279.64</v>
      </c>
      <c r="C24" s="14" t="n">
        <f aca="false">VLOOKUP(A24,'Price Data'!$X$2:$AC$150,6,FALSE())</f>
        <v>1.1971</v>
      </c>
      <c r="D24" s="16" t="n">
        <f aca="false">B24*C24</f>
        <v>334.757044</v>
      </c>
      <c r="E24" s="14" t="n">
        <f aca="false">SUMIFS('Price Data'!$Q$2:$Q$150,'Price Data'!$L$2:$L$150,A24)</f>
        <v>13.33</v>
      </c>
      <c r="F24" s="17" t="n">
        <f aca="false">(D24-D23)/D23</f>
        <v>0.132588068736374</v>
      </c>
      <c r="G24" s="17" t="n">
        <f aca="false">(E24-E23)/E23</f>
        <v>0.0689655172413793</v>
      </c>
      <c r="I24" s="19" t="n">
        <f aca="false">I23+5%</f>
        <v>0.75</v>
      </c>
      <c r="J24" s="17" t="n">
        <f aca="false">1-I24</f>
        <v>0.25</v>
      </c>
      <c r="K24" s="17" t="n">
        <f aca="false">I24*$J$2+J24*$K$2</f>
        <v>0.0214742647845824</v>
      </c>
      <c r="L24" s="20" t="n">
        <f aca="false">I24^2*$J$3^2+J24^2*$K$3^2+2*I24*J24*$J$3*$K$3*$J$4</f>
        <v>0.00458325348028636</v>
      </c>
      <c r="M24" s="17" t="n">
        <f aca="false">SQRT(L24)</f>
        <v>0.0676997302822276</v>
      </c>
      <c r="N24" s="21" t="n">
        <f aca="false">(K24-$J$5)/M24</f>
        <v>0.272885352830308</v>
      </c>
    </row>
    <row r="25" customFormat="false" ht="14.25" hidden="false" customHeight="false" outlineLevel="0" collapsed="false">
      <c r="A25" s="15" t="n">
        <f aca="false">EDATE(A24,1)</f>
        <v>44166</v>
      </c>
      <c r="B25" s="14" t="n">
        <f aca="false">VLOOKUP(A25,'Price Data'!$A$2:$F$150,6,FALSE())</f>
        <v>283.29</v>
      </c>
      <c r="C25" s="14" t="n">
        <f aca="false">VLOOKUP(A25,'Price Data'!$X$2:$AC$150,6,FALSE())</f>
        <v>1.23</v>
      </c>
      <c r="D25" s="16" t="n">
        <f aca="false">B25*C25</f>
        <v>348.4467</v>
      </c>
      <c r="E25" s="14" t="n">
        <f aca="false">SUMIFS('Price Data'!$Q$2:$Q$150,'Price Data'!$L$2:$L$150,A25)</f>
        <v>12.99</v>
      </c>
      <c r="F25" s="17" t="n">
        <f aca="false">(D25-D24)/D24</f>
        <v>0.0408943030336951</v>
      </c>
      <c r="G25" s="17" t="n">
        <f aca="false">(E25-E24)/E24</f>
        <v>-0.0255063765941485</v>
      </c>
      <c r="I25" s="19" t="n">
        <f aca="false">I24+5%</f>
        <v>0.8</v>
      </c>
      <c r="J25" s="17" t="n">
        <f aca="false">1-I25</f>
        <v>0.2</v>
      </c>
      <c r="K25" s="17" t="n">
        <f aca="false">I25*$J$2+J25*$K$2</f>
        <v>0.019247171719755</v>
      </c>
      <c r="L25" s="20" t="n">
        <f aca="false">I25^2*$J$3^2+J25^2*$K$3^2+2*I25*J25*$J$3*$K$3*$J$4</f>
        <v>0.00440086234764652</v>
      </c>
      <c r="M25" s="17" t="n">
        <f aca="false">SQRT(L25)</f>
        <v>0.0663389956786091</v>
      </c>
      <c r="N25" s="21" t="n">
        <f aca="false">(K25-$J$5)/M25</f>
        <v>0.24491133086288</v>
      </c>
    </row>
    <row r="26" customFormat="false" ht="14.25" hidden="false" customHeight="false" outlineLevel="0" collapsed="false">
      <c r="A26" s="15" t="n">
        <f aca="false">EDATE(A25,1)</f>
        <v>44197</v>
      </c>
      <c r="B26" s="14" t="n">
        <f aca="false">VLOOKUP(A26,'Price Data'!$A$2:$F$150,6,FALSE())</f>
        <v>264.42</v>
      </c>
      <c r="C26" s="14" t="n">
        <f aca="false">VLOOKUP(A26,'Price Data'!$X$2:$AC$150,6,FALSE())</f>
        <v>1.2139</v>
      </c>
      <c r="D26" s="16" t="n">
        <f aca="false">B26*C26</f>
        <v>320.979438</v>
      </c>
      <c r="E26" s="14" t="n">
        <f aca="false">SUMIFS('Price Data'!$Q$2:$Q$150,'Price Data'!$L$2:$L$150,A26)</f>
        <v>12.92</v>
      </c>
      <c r="F26" s="17" t="n">
        <f aca="false">(D26-D25)/D25</f>
        <v>-0.0788277288893825</v>
      </c>
      <c r="G26" s="17" t="n">
        <f aca="false">(E26-E25)/E25</f>
        <v>-0.00538876058506546</v>
      </c>
      <c r="I26" s="19" t="n">
        <f aca="false">I25+5%</f>
        <v>0.85</v>
      </c>
      <c r="J26" s="17" t="n">
        <f aca="false">1-I26</f>
        <v>0.15</v>
      </c>
      <c r="K26" s="17" t="n">
        <f aca="false">I26*$J$2+J26*$K$2</f>
        <v>0.0170200786549276</v>
      </c>
      <c r="L26" s="20" t="n">
        <f aca="false">I26^2*$J$3^2+J26^2*$K$3^2+2*I26*J26*$J$3*$K$3*$J$4</f>
        <v>0.00430348426688294</v>
      </c>
      <c r="M26" s="17" t="n">
        <f aca="false">SQRT(L26)</f>
        <v>0.0656009471492824</v>
      </c>
      <c r="N26" s="21" t="n">
        <f aca="false">(K26-$J$5)/M26</f>
        <v>0.21371762549439</v>
      </c>
    </row>
    <row r="27" customFormat="false" ht="14.25" hidden="false" customHeight="false" outlineLevel="0" collapsed="false">
      <c r="A27" s="15" t="n">
        <f aca="false">EDATE(A26,1)</f>
        <v>44228</v>
      </c>
      <c r="B27" s="14" t="n">
        <f aca="false">VLOOKUP(A27,'Price Data'!$A$2:$F$150,6,FALSE())</f>
        <v>276</v>
      </c>
      <c r="C27" s="14" t="n">
        <f aca="false">VLOOKUP(A27,'Price Data'!$X$2:$AC$150,6,FALSE())</f>
        <v>1.2074</v>
      </c>
      <c r="D27" s="16" t="n">
        <f aca="false">B27*C27</f>
        <v>333.2424</v>
      </c>
      <c r="E27" s="14" t="n">
        <f aca="false">SUMIFS('Price Data'!$Q$2:$Q$150,'Price Data'!$L$2:$L$150,A27)</f>
        <v>13.64</v>
      </c>
      <c r="F27" s="17" t="n">
        <f aca="false">(D27-D26)/D26</f>
        <v>0.0382048210826515</v>
      </c>
      <c r="G27" s="17" t="n">
        <f aca="false">(E27-E26)/E26</f>
        <v>0.0557275541795666</v>
      </c>
      <c r="I27" s="19" t="n">
        <f aca="false">I26+5%</f>
        <v>0.9</v>
      </c>
      <c r="J27" s="17" t="n">
        <f aca="false">1-I27</f>
        <v>0.0999999999999998</v>
      </c>
      <c r="K27" s="17" t="n">
        <f aca="false">I27*$J$2+J27*$K$2</f>
        <v>0.0147929855901002</v>
      </c>
      <c r="L27" s="20" t="n">
        <f aca="false">I27^2*$J$3^2+J27^2*$K$3^2+2*I27*J27*$J$3*$K$3*$J$4</f>
        <v>0.00429111923799561</v>
      </c>
      <c r="M27" s="17" t="n">
        <f aca="false">SQRT(L27)</f>
        <v>0.0655066350684845</v>
      </c>
      <c r="N27" s="21" t="n">
        <f aca="false">(K27-$J$5)/M27</f>
        <v>0.180027344982247</v>
      </c>
    </row>
    <row r="28" customFormat="false" ht="14.25" hidden="false" customHeight="false" outlineLevel="0" collapsed="false">
      <c r="A28" s="15" t="n">
        <f aca="false">EDATE(A27,1)</f>
        <v>44256</v>
      </c>
      <c r="B28" s="14" t="n">
        <f aca="false">VLOOKUP(A28,'Price Data'!$A$2:$F$150,6,FALSE())</f>
        <v>297.87</v>
      </c>
      <c r="C28" s="14" t="n">
        <f aca="false">VLOOKUP(A28,'Price Data'!$X$2:$AC$150,6,FALSE())</f>
        <v>1.1724</v>
      </c>
      <c r="D28" s="16" t="n">
        <f aca="false">B28*C28</f>
        <v>349.222788</v>
      </c>
      <c r="E28" s="14" t="n">
        <f aca="false">SUMIFS('Price Data'!$Q$2:$Q$150,'Price Data'!$L$2:$L$150,A28)</f>
        <v>13.28</v>
      </c>
      <c r="F28" s="17" t="n">
        <f aca="false">(D28-D27)/D27</f>
        <v>0.0479542459182865</v>
      </c>
      <c r="G28" s="17" t="n">
        <f aca="false">(E28-E27)/E27</f>
        <v>-0.0263929618768329</v>
      </c>
      <c r="I28" s="19" t="n">
        <f aca="false">I27+5%</f>
        <v>0.95</v>
      </c>
      <c r="J28" s="17" t="n">
        <f aca="false">1-I28</f>
        <v>0.0499999999999997</v>
      </c>
      <c r="K28" s="17" t="n">
        <f aca="false">I28*$J$2+J28*$K$2</f>
        <v>0.0125658925252728</v>
      </c>
      <c r="L28" s="20" t="n">
        <f aca="false">I28^2*$J$3^2+J28^2*$K$3^2+2*I28*J28*$J$3*$K$3*$J$4</f>
        <v>0.00436376726098454</v>
      </c>
      <c r="M28" s="17" t="n">
        <f aca="false">SQRT(L28)</f>
        <v>0.0660588166786579</v>
      </c>
      <c r="N28" s="21" t="n">
        <f aca="false">(K28-$J$5)/M28</f>
        <v>0.144808717537372</v>
      </c>
    </row>
    <row r="29" customFormat="false" ht="14.25" hidden="false" customHeight="false" outlineLevel="0" collapsed="false">
      <c r="A29" s="15" t="n">
        <f aca="false">EDATE(A28,1)</f>
        <v>44287</v>
      </c>
      <c r="B29" s="14" t="n">
        <f aca="false">VLOOKUP(A29,'Price Data'!$A$2:$F$150,6,FALSE())</f>
        <v>315.09</v>
      </c>
      <c r="C29" s="14" t="n">
        <f aca="false">VLOOKUP(A29,'Price Data'!$X$2:$AC$150,6,FALSE())</f>
        <v>1.2127</v>
      </c>
      <c r="D29" s="16" t="n">
        <f aca="false">B29*C29</f>
        <v>382.109643</v>
      </c>
      <c r="E29" s="14" t="n">
        <f aca="false">SUMIFS('Price Data'!$Q$2:$Q$150,'Price Data'!$L$2:$L$150,A29)</f>
        <v>14.94</v>
      </c>
      <c r="F29" s="17" t="n">
        <f aca="false">(D29-D28)/D28</f>
        <v>0.0941715607630963</v>
      </c>
      <c r="G29" s="17" t="n">
        <f aca="false">(E29-E28)/E28</f>
        <v>0.125</v>
      </c>
      <c r="I29" s="19" t="n">
        <f aca="false">I28+5%</f>
        <v>1</v>
      </c>
      <c r="J29" s="17" t="n">
        <f aca="false">1-I29</f>
        <v>0</v>
      </c>
      <c r="K29" s="17" t="n">
        <f aca="false">I29*$J$2+J29*$K$2</f>
        <v>0.0103387994604455</v>
      </c>
      <c r="L29" s="20" t="n">
        <f aca="false">I29^2*$J$3^2+J29^2*$K$3^2+2*I29*J29*$J$3*$K$3*$J$4</f>
        <v>0.00452142833584972</v>
      </c>
      <c r="M29" s="17" t="n">
        <f aca="false">SQRT(L29)</f>
        <v>0.0672415670240493</v>
      </c>
      <c r="N29" s="21" t="n">
        <f aca="false">(K29-$J$5)/M29</f>
        <v>0.10914081549915</v>
      </c>
    </row>
    <row r="30" customFormat="false" ht="14.25" hidden="false" customHeight="false" outlineLevel="0" collapsed="false">
      <c r="A30" s="15" t="n">
        <f aca="false">EDATE(A29,1)</f>
        <v>44317</v>
      </c>
      <c r="B30" s="14" t="n">
        <f aca="false">VLOOKUP(A30,'Price Data'!$A$2:$F$150,6,FALSE())</f>
        <v>339.66</v>
      </c>
      <c r="C30" s="14" t="n">
        <f aca="false">VLOOKUP(A30,'Price Data'!$X$2:$AC$150,6,FALSE())</f>
        <v>1.219</v>
      </c>
      <c r="D30" s="16" t="n">
        <f aca="false">B30*C30</f>
        <v>414.04554</v>
      </c>
      <c r="E30" s="14" t="n">
        <f aca="false">SUMIFS('Price Data'!$Q$2:$Q$150,'Price Data'!$L$2:$L$150,A30)</f>
        <v>16.17</v>
      </c>
      <c r="F30" s="17" t="n">
        <f aca="false">(D30-D29)/D29</f>
        <v>0.0835778357993445</v>
      </c>
      <c r="G30" s="17" t="n">
        <f aca="false">(E30-E29)/E29</f>
        <v>0.0823293172690765</v>
      </c>
    </row>
    <row r="31" customFormat="false" ht="14.25" hidden="false" customHeight="false" outlineLevel="0" collapsed="false">
      <c r="A31" s="15" t="n">
        <f aca="false">EDATE(A30,1)</f>
        <v>44348</v>
      </c>
      <c r="B31" s="14" t="n">
        <f aca="false">VLOOKUP(A31,'Price Data'!$A$2:$F$150,6,FALSE())</f>
        <v>346.58</v>
      </c>
      <c r="C31" s="14" t="n">
        <f aca="false">VLOOKUP(A31,'Price Data'!$X$2:$AC$150,6,FALSE())</f>
        <v>1.1902</v>
      </c>
      <c r="D31" s="16" t="n">
        <f aca="false">B31*C31</f>
        <v>412.499516</v>
      </c>
      <c r="E31" s="14" t="n">
        <f aca="false">SUMIFS('Price Data'!$Q$2:$Q$150,'Price Data'!$L$2:$L$150,A31)</f>
        <v>19.91</v>
      </c>
      <c r="F31" s="17" t="n">
        <f aca="false">(D31-D30)/D30</f>
        <v>-0.00373394675378004</v>
      </c>
      <c r="G31" s="17" t="n">
        <f aca="false">(E31-E30)/E30</f>
        <v>0.231292517006803</v>
      </c>
    </row>
    <row r="32" customFormat="false" ht="14.25" hidden="false" customHeight="false" outlineLevel="0" collapsed="false">
      <c r="A32" s="15" t="n">
        <f aca="false">EDATE(A31,1)</f>
        <v>44378</v>
      </c>
      <c r="B32" s="14" t="n">
        <f aca="false">VLOOKUP(A32,'Price Data'!$A$2:$F$150,6,FALSE())</f>
        <v>355.89</v>
      </c>
      <c r="C32" s="14" t="n">
        <f aca="false">VLOOKUP(A32,'Price Data'!$X$2:$AC$150,6,FALSE())</f>
        <v>1.1868</v>
      </c>
      <c r="D32" s="16" t="n">
        <f aca="false">B32*C32</f>
        <v>422.370252</v>
      </c>
      <c r="E32" s="14" t="n">
        <f aca="false">SUMIFS('Price Data'!$Q$2:$Q$150,'Price Data'!$L$2:$L$150,A32)</f>
        <v>19.41</v>
      </c>
      <c r="F32" s="17" t="n">
        <f aca="false">(D32-D31)/D31</f>
        <v>0.0239290850464901</v>
      </c>
      <c r="G32" s="17" t="n">
        <f aca="false">(E32-E31)/E31</f>
        <v>-0.0251130085384229</v>
      </c>
      <c r="I32" s="14" t="s">
        <v>33</v>
      </c>
      <c r="J32" s="14" t="s">
        <v>34</v>
      </c>
      <c r="K32" s="14" t="s">
        <v>35</v>
      </c>
      <c r="L32" s="14" t="s">
        <v>36</v>
      </c>
      <c r="M32" s="14" t="s">
        <v>37</v>
      </c>
      <c r="N32" s="14" t="s">
        <v>38</v>
      </c>
    </row>
    <row r="33" customFormat="false" ht="14.25" hidden="false" customHeight="false" outlineLevel="0" collapsed="false">
      <c r="A33" s="15" t="n">
        <f aca="false">EDATE(A32,1)</f>
        <v>44409</v>
      </c>
      <c r="B33" s="14" t="n">
        <f aca="false">VLOOKUP(A33,'Price Data'!$A$2:$F$150,6,FALSE())</f>
        <v>365.49</v>
      </c>
      <c r="C33" s="14" t="n">
        <f aca="false">VLOOKUP(A33,'Price Data'!$X$2:$AC$150,6,FALSE())</f>
        <v>1.1797</v>
      </c>
      <c r="D33" s="16" t="n">
        <f aca="false">B33*C33</f>
        <v>431.168553</v>
      </c>
      <c r="E33" s="14" t="n">
        <f aca="false">SUMIFS('Price Data'!$Q$2:$Q$150,'Price Data'!$L$2:$L$150,A33)</f>
        <v>22.29</v>
      </c>
      <c r="F33" s="17" t="n">
        <f aca="false">(D33-D32)/D32</f>
        <v>0.0208307781107652</v>
      </c>
      <c r="G33" s="17" t="n">
        <f aca="false">(E33-E32)/E32</f>
        <v>0.148377125193199</v>
      </c>
      <c r="I33" s="19" t="n">
        <v>0</v>
      </c>
      <c r="J33" s="19" t="n">
        <f aca="false">1-I33</f>
        <v>1</v>
      </c>
      <c r="K33" s="17" t="n">
        <f aca="false">I33*$J$2+J33*$K$2</f>
        <v>0.0548806607569931</v>
      </c>
      <c r="L33" s="20" t="n">
        <f aca="false">I33^2*$J$3^2+J33^2*$K$3^2+2*I33*J33*$J$3*$K$3*$J$4</f>
        <v>0.0175206866950344</v>
      </c>
      <c r="M33" s="17" t="n">
        <f aca="false">SQRT(L33)</f>
        <v>0.132365730818193</v>
      </c>
      <c r="N33" s="21" t="n">
        <f aca="false">(K33-$J$5)/M33</f>
        <v>0.391949339427227</v>
      </c>
    </row>
    <row r="34" customFormat="false" ht="14.25" hidden="false" customHeight="false" outlineLevel="0" collapsed="false">
      <c r="A34" s="15" t="n">
        <f aca="false">EDATE(A33,1)</f>
        <v>44440</v>
      </c>
      <c r="B34" s="14" t="n">
        <f aca="false">VLOOKUP(A34,'Price Data'!$A$2:$F$150,6,FALSE())</f>
        <v>329.1</v>
      </c>
      <c r="C34" s="14" t="n">
        <f aca="false">VLOOKUP(A34,'Price Data'!$X$2:$AC$150,6,FALSE())</f>
        <v>1.1602</v>
      </c>
      <c r="D34" s="16" t="n">
        <f aca="false">B34*C34</f>
        <v>381.82182</v>
      </c>
      <c r="E34" s="14" t="n">
        <f aca="false">SUMIFS('Price Data'!$Q$2:$Q$150,'Price Data'!$L$2:$L$150,A34)</f>
        <v>20.63</v>
      </c>
      <c r="F34" s="17" t="n">
        <f aca="false">(D34-D33)/D33</f>
        <v>-0.114448822059618</v>
      </c>
      <c r="G34" s="17" t="n">
        <f aca="false">(E34-E33)/E33</f>
        <v>-0.0744728577837596</v>
      </c>
    </row>
    <row r="35" customFormat="false" ht="14.25" hidden="false" customHeight="false" outlineLevel="0" collapsed="false">
      <c r="A35" s="15" t="n">
        <f aca="false">EDATE(A34,1)</f>
        <v>44470</v>
      </c>
      <c r="B35" s="14" t="n">
        <f aca="false">VLOOKUP(A35,'Price Data'!$A$2:$F$150,6,FALSE())</f>
        <v>364.24</v>
      </c>
      <c r="C35" s="14" t="n">
        <f aca="false">VLOOKUP(A35,'Price Data'!$X$2:$AC$150,6,FALSE())</f>
        <v>1.1561</v>
      </c>
      <c r="D35" s="16" t="n">
        <f aca="false">B35*C35</f>
        <v>421.097864</v>
      </c>
      <c r="E35" s="14" t="n">
        <f aca="false">SUMIFS('Price Data'!$Q$2:$Q$150,'Price Data'!$L$2:$L$150,A35)</f>
        <v>25.45</v>
      </c>
      <c r="F35" s="17" t="n">
        <f aca="false">(D35-D34)/D34</f>
        <v>0.102864849368745</v>
      </c>
      <c r="G35" s="17" t="n">
        <f aca="false">(E35-E34)/E34</f>
        <v>0.233640329617063</v>
      </c>
    </row>
    <row r="36" customFormat="false" ht="14.25" hidden="false" customHeight="false" outlineLevel="0" collapsed="false">
      <c r="A36" s="15" t="n">
        <f aca="false">EDATE(A35,1)</f>
        <v>44501</v>
      </c>
      <c r="B36" s="14" t="n">
        <f aca="false">VLOOKUP(A36,'Price Data'!$A$2:$F$150,6,FALSE())</f>
        <v>366.59</v>
      </c>
      <c r="C36" s="14" t="n">
        <f aca="false">VLOOKUP(A36,'Price Data'!$X$2:$AC$150,6,FALSE())</f>
        <v>1.1293</v>
      </c>
      <c r="D36" s="16" t="n">
        <f aca="false">B36*C36</f>
        <v>413.990087</v>
      </c>
      <c r="E36" s="14" t="n">
        <f aca="false">SUMIFS('Price Data'!$Q$2:$Q$150,'Price Data'!$L$2:$L$150,A36)</f>
        <v>32.53</v>
      </c>
      <c r="F36" s="17" t="n">
        <f aca="false">(D36-D35)/D35</f>
        <v>-0.0168791570977905</v>
      </c>
      <c r="G36" s="17" t="n">
        <f aca="false">(E36-E35)/E35</f>
        <v>0.27819253438114</v>
      </c>
      <c r="I36" s="14" t="s">
        <v>39</v>
      </c>
      <c r="J36" s="14" t="s">
        <v>33</v>
      </c>
      <c r="K36" s="14" t="s">
        <v>34</v>
      </c>
    </row>
    <row r="37" customFormat="false" ht="14.25" hidden="false" customHeight="false" outlineLevel="0" collapsed="false">
      <c r="A37" s="15" t="n">
        <f aca="false">EDATE(A36,1)</f>
        <v>44531</v>
      </c>
      <c r="B37" s="14" t="n">
        <f aca="false">VLOOKUP(A37,'Price Data'!$A$2:$F$150,6,FALSE())</f>
        <v>384.53</v>
      </c>
      <c r="C37" s="14" t="n">
        <f aca="false">VLOOKUP(A37,'Price Data'!$X$2:$AC$150,6,FALSE())</f>
        <v>1.1325</v>
      </c>
      <c r="D37" s="16" t="n">
        <f aca="false">B37*C37</f>
        <v>435.480225</v>
      </c>
      <c r="E37" s="14" t="n">
        <f aca="false">SUMIFS('Price Data'!$Q$2:$Q$150,'Price Data'!$L$2:$L$150,A37)</f>
        <v>29.29</v>
      </c>
      <c r="F37" s="17" t="n">
        <f aca="false">(D37-D36)/D36</f>
        <v>0.0519097888447751</v>
      </c>
      <c r="G37" s="17" t="n">
        <f aca="false">(E37-E36)/E36</f>
        <v>-0.0996003688902552</v>
      </c>
      <c r="I37" s="14" t="s">
        <v>40</v>
      </c>
      <c r="J37" s="19" t="n">
        <v>0</v>
      </c>
      <c r="K37" s="19" t="n">
        <v>1</v>
      </c>
    </row>
    <row r="38" customFormat="false" ht="14.25" hidden="false" customHeight="false" outlineLevel="0" collapsed="false">
      <c r="A38" s="15" t="n">
        <f aca="false">EDATE(A37,1)</f>
        <v>44562</v>
      </c>
      <c r="B38" s="14" t="n">
        <f aca="false">VLOOKUP(A38,'Price Data'!$A$2:$F$150,6,FALSE())</f>
        <v>347.55</v>
      </c>
      <c r="C38" s="14" t="n">
        <f aca="false">VLOOKUP(A38,'Price Data'!$X$2:$AC$150,6,FALSE())</f>
        <v>1.1152</v>
      </c>
      <c r="D38" s="16" t="n">
        <f aca="false">B38*C38</f>
        <v>387.58776</v>
      </c>
      <c r="E38" s="14" t="n">
        <f aca="false">SUMIFS('Price Data'!$Q$2:$Q$150,'Price Data'!$L$2:$L$150,A38)</f>
        <v>24.38</v>
      </c>
      <c r="F38" s="17" t="n">
        <f aca="false">(D38-D37)/D37</f>
        <v>-0.109976210745276</v>
      </c>
      <c r="G38" s="17" t="n">
        <f aca="false">(E38-E37)/E37</f>
        <v>-0.167634004779788</v>
      </c>
      <c r="I38" s="14" t="s">
        <v>41</v>
      </c>
      <c r="J38" s="17" t="n">
        <v>0.882272427844202</v>
      </c>
      <c r="K38" s="17" t="n">
        <f aca="false">1-J38</f>
        <v>0.117727572155798</v>
      </c>
    </row>
    <row r="39" customFormat="false" ht="14.25" hidden="false" customHeight="false" outlineLevel="0" collapsed="false">
      <c r="A39" s="15" t="n">
        <f aca="false">EDATE(A38,1)</f>
        <v>44593</v>
      </c>
      <c r="B39" s="14" t="n">
        <f aca="false">VLOOKUP(A39,'Price Data'!$A$2:$F$150,6,FALSE())</f>
        <v>327.4</v>
      </c>
      <c r="C39" s="14" t="n">
        <f aca="false">VLOOKUP(A39,'Price Data'!$X$2:$AC$150,6,FALSE())</f>
        <v>1.1181</v>
      </c>
      <c r="D39" s="16" t="n">
        <f aca="false">B39*C39</f>
        <v>366.06594</v>
      </c>
      <c r="E39" s="14" t="n">
        <f aca="false">SUMIFS('Price Data'!$Q$2:$Q$150,'Price Data'!$L$2:$L$150,A39)</f>
        <v>24.28</v>
      </c>
      <c r="F39" s="17" t="n">
        <f aca="false">(D39-D38)/D38</f>
        <v>-0.0555276048965014</v>
      </c>
      <c r="G39" s="17" t="n">
        <f aca="false">(E39-E38)/E38</f>
        <v>-0.0041017227235438</v>
      </c>
      <c r="I39" s="14" t="s">
        <v>42</v>
      </c>
      <c r="J39" s="19" t="n">
        <v>0</v>
      </c>
      <c r="K39" s="19" t="n">
        <f aca="false">1-J39</f>
        <v>1</v>
      </c>
    </row>
    <row r="40" customFormat="false" ht="14.25" hidden="false" customHeight="false" outlineLevel="0" collapsed="false">
      <c r="A40" s="15" t="n">
        <f aca="false">EDATE(A39,1)</f>
        <v>44621</v>
      </c>
      <c r="B40" s="14" t="n">
        <f aca="false">VLOOKUP(A40,'Price Data'!$A$2:$F$150,6,FALSE())</f>
        <v>335.56</v>
      </c>
      <c r="C40" s="14" t="n">
        <f aca="false">VLOOKUP(A40,'Price Data'!$X$2:$AC$150,6,FALSE())</f>
        <v>1.1162</v>
      </c>
      <c r="D40" s="16" t="n">
        <f aca="false">B40*C40</f>
        <v>374.552072</v>
      </c>
      <c r="E40" s="14" t="n">
        <f aca="false">SUMIFS('Price Data'!$Q$2:$Q$150,'Price Data'!$L$2:$L$150,A40)</f>
        <v>27.17</v>
      </c>
      <c r="F40" s="17" t="n">
        <f aca="false">(D40-D39)/D39</f>
        <v>0.0231819764493796</v>
      </c>
      <c r="G40" s="17" t="n">
        <f aca="false">(E40-E39)/E39</f>
        <v>0.119028006589786</v>
      </c>
    </row>
    <row r="41" customFormat="false" ht="14.25" hidden="false" customHeight="false" outlineLevel="0" collapsed="false">
      <c r="A41" s="15" t="n">
        <f aca="false">EDATE(A40,1)</f>
        <v>44652</v>
      </c>
      <c r="B41" s="14" t="n">
        <f aca="false">VLOOKUP(A41,'Price Data'!$A$2:$F$150,6,FALSE())</f>
        <v>326.4</v>
      </c>
      <c r="C41" s="14" t="n">
        <f aca="false">VLOOKUP(A41,'Price Data'!$X$2:$AC$150,6,FALSE())</f>
        <v>1.0546</v>
      </c>
      <c r="D41" s="16" t="n">
        <f aca="false">B41*C41</f>
        <v>344.22144</v>
      </c>
      <c r="E41" s="14" t="n">
        <f aca="false">SUMIFS('Price Data'!$Q$2:$Q$150,'Price Data'!$L$2:$L$150,A41)</f>
        <v>18.47</v>
      </c>
      <c r="F41" s="17" t="n">
        <f aca="false">(D41-D40)/D40</f>
        <v>-0.0809784119950084</v>
      </c>
      <c r="G41" s="17" t="n">
        <f aca="false">(E41-E40)/E40</f>
        <v>-0.320206109679794</v>
      </c>
    </row>
    <row r="42" customFormat="false" ht="14.25" hidden="false" customHeight="false" outlineLevel="0" collapsed="false">
      <c r="A42" s="15" t="n">
        <f aca="false">EDATE(A41,1)</f>
        <v>44682</v>
      </c>
      <c r="B42" s="14" t="n">
        <f aca="false">VLOOKUP(A42,'Price Data'!$A$2:$F$150,6,FALSE())</f>
        <v>307.37</v>
      </c>
      <c r="C42" s="14" t="n">
        <f aca="false">VLOOKUP(A42,'Price Data'!$X$2:$AC$150,6,FALSE())</f>
        <v>1.0774</v>
      </c>
      <c r="D42" s="16" t="n">
        <f aca="false">B42*C42</f>
        <v>331.160438</v>
      </c>
      <c r="E42" s="14" t="n">
        <f aca="false">SUMIFS('Price Data'!$Q$2:$Q$150,'Price Data'!$L$2:$L$150,A42)</f>
        <v>18.6</v>
      </c>
      <c r="F42" s="17" t="n">
        <f aca="false">(D42-D41)/D41</f>
        <v>-0.0379436039777185</v>
      </c>
      <c r="G42" s="17" t="n">
        <f aca="false">(E42-E41)/E41</f>
        <v>0.00703844071467258</v>
      </c>
    </row>
    <row r="43" customFormat="false" ht="14.25" hidden="false" customHeight="false" outlineLevel="0" collapsed="false">
      <c r="A43" s="15" t="n">
        <f aca="false">EDATE(A42,1)</f>
        <v>44713</v>
      </c>
      <c r="B43" s="14" t="n">
        <f aca="false">VLOOKUP(A43,'Price Data'!$A$2:$F$150,6,FALSE())</f>
        <v>308.07</v>
      </c>
      <c r="C43" s="14" t="n">
        <f aca="false">VLOOKUP(A43,'Price Data'!$X$2:$AC$150,6,FALSE())</f>
        <v>1.0447</v>
      </c>
      <c r="D43" s="16" t="n">
        <f aca="false">B43*C43</f>
        <v>321.840729</v>
      </c>
      <c r="E43" s="14" t="n">
        <f aca="false">SUMIFS('Price Data'!$Q$2:$Q$150,'Price Data'!$L$2:$L$150,A43)</f>
        <v>15.1</v>
      </c>
      <c r="F43" s="17" t="n">
        <f aca="false">(D43-D42)/D42</f>
        <v>-0.0281425796399027</v>
      </c>
      <c r="G43" s="17" t="n">
        <f aca="false">(E43-E42)/E42</f>
        <v>-0.188172043010753</v>
      </c>
    </row>
    <row r="44" customFormat="false" ht="14.25" hidden="false" customHeight="false" outlineLevel="0" collapsed="false">
      <c r="A44" s="15" t="n">
        <f aca="false">EDATE(A43,1)</f>
        <v>44743</v>
      </c>
      <c r="B44" s="14" t="n">
        <f aca="false">VLOOKUP(A44,'Price Data'!$A$2:$F$150,6,FALSE())</f>
        <v>344.37</v>
      </c>
      <c r="C44" s="14" t="n">
        <f aca="false">VLOOKUP(A44,'Price Data'!$X$2:$AC$150,6,FALSE())</f>
        <v>1.0227</v>
      </c>
      <c r="D44" s="16" t="n">
        <f aca="false">B44*C44</f>
        <v>352.187199</v>
      </c>
      <c r="E44" s="14" t="n">
        <f aca="false">SUMIFS('Price Data'!$Q$2:$Q$150,'Price Data'!$L$2:$L$150,A44)</f>
        <v>18.09</v>
      </c>
      <c r="F44" s="17" t="n">
        <f aca="false">(D44-D43)/D43</f>
        <v>0.0942903345213341</v>
      </c>
      <c r="G44" s="17" t="n">
        <f aca="false">(E44-E43)/E43</f>
        <v>0.198013245033113</v>
      </c>
    </row>
    <row r="45" customFormat="false" ht="14.25" hidden="false" customHeight="false" outlineLevel="0" collapsed="false">
      <c r="A45" s="15" t="n">
        <f aca="false">EDATE(A44,1)</f>
        <v>44774</v>
      </c>
      <c r="B45" s="14" t="n">
        <f aca="false">VLOOKUP(A45,'Price Data'!$A$2:$F$150,6,FALSE())</f>
        <v>321.12</v>
      </c>
      <c r="C45" s="14" t="n">
        <f aca="false">VLOOKUP(A45,'Price Data'!$X$2:$AC$150,6,FALSE())</f>
        <v>1.0025</v>
      </c>
      <c r="D45" s="16" t="n">
        <f aca="false">B45*C45</f>
        <v>321.9228</v>
      </c>
      <c r="E45" s="14" t="n">
        <f aca="false">SUMIFS('Price Data'!$Q$2:$Q$150,'Price Data'!$L$2:$L$150,A45)</f>
        <v>15.04</v>
      </c>
      <c r="F45" s="17" t="n">
        <f aca="false">(D45-D44)/D44</f>
        <v>-0.0859327059187065</v>
      </c>
      <c r="G45" s="17" t="n">
        <f aca="false">(E45-E44)/E44</f>
        <v>-0.168601437258154</v>
      </c>
    </row>
    <row r="46" customFormat="false" ht="14.25" hidden="false" customHeight="false" outlineLevel="0" collapsed="false">
      <c r="A46" s="15" t="n">
        <f aca="false">EDATE(A45,1)</f>
        <v>44805</v>
      </c>
      <c r="B46" s="14" t="n">
        <f aca="false">VLOOKUP(A46,'Price Data'!$A$2:$F$150,6,FALSE())</f>
        <v>308.96</v>
      </c>
      <c r="C46" s="14" t="n">
        <f aca="false">VLOOKUP(A46,'Price Data'!$X$2:$AC$150,6,FALSE())</f>
        <v>0.983</v>
      </c>
      <c r="D46" s="16" t="n">
        <f aca="false">B46*C46</f>
        <v>303.70768</v>
      </c>
      <c r="E46" s="14" t="n">
        <f aca="false">SUMIFS('Price Data'!$Q$2:$Q$150,'Price Data'!$L$2:$L$150,A46)</f>
        <v>12.1</v>
      </c>
      <c r="F46" s="17" t="n">
        <f aca="false">(D46-D45)/D45</f>
        <v>-0.0565822613371902</v>
      </c>
      <c r="G46" s="17" t="n">
        <f aca="false">(E46-E45)/E45</f>
        <v>-0.195478723404255</v>
      </c>
    </row>
    <row r="47" customFormat="false" ht="14.25" hidden="false" customHeight="false" outlineLevel="0" collapsed="false">
      <c r="A47" s="15" t="n">
        <f aca="false">EDATE(A46,1)</f>
        <v>44835</v>
      </c>
      <c r="B47" s="14" t="n">
        <f aca="false">VLOOKUP(A47,'Price Data'!$A$2:$F$150,6,FALSE())</f>
        <v>297.59</v>
      </c>
      <c r="C47" s="14" t="n">
        <f aca="false">VLOOKUP(A47,'Price Data'!$X$2:$AC$150,6,FALSE())</f>
        <v>0.9955</v>
      </c>
      <c r="D47" s="16" t="n">
        <f aca="false">B47*C47</f>
        <v>296.250845</v>
      </c>
      <c r="E47" s="14" t="n">
        <f aca="false">SUMIFS('Price Data'!$Q$2:$Q$150,'Price Data'!$L$2:$L$150,A47)</f>
        <v>13.45</v>
      </c>
      <c r="F47" s="17" t="n">
        <f aca="false">(D47-D46)/D46</f>
        <v>-0.0245526718323357</v>
      </c>
      <c r="G47" s="17" t="n">
        <f aca="false">(E47-E46)/E46</f>
        <v>0.111570247933884</v>
      </c>
    </row>
    <row r="48" customFormat="false" ht="14.25" hidden="false" customHeight="false" outlineLevel="0" collapsed="false">
      <c r="A48" s="15" t="n">
        <f aca="false">EDATE(A47,1)</f>
        <v>44866</v>
      </c>
      <c r="B48" s="14" t="n">
        <f aca="false">VLOOKUP(A48,'Price Data'!$A$2:$F$150,6,FALSE())</f>
        <v>331.92</v>
      </c>
      <c r="C48" s="14" t="n">
        <f aca="false">VLOOKUP(A48,'Price Data'!$X$2:$AC$150,6,FALSE())</f>
        <v>1.0324</v>
      </c>
      <c r="D48" s="16" t="n">
        <f aca="false">B48*C48</f>
        <v>342.674208</v>
      </c>
      <c r="E48" s="14" t="n">
        <f aca="false">SUMIFS('Price Data'!$Q$2:$Q$150,'Price Data'!$L$2:$L$150,A48)</f>
        <v>16.87</v>
      </c>
      <c r="F48" s="17" t="n">
        <f aca="false">(D48-D47)/D47</f>
        <v>0.15670288805421</v>
      </c>
      <c r="G48" s="17" t="n">
        <f aca="false">(E48-E47)/E47</f>
        <v>0.254275092936803</v>
      </c>
    </row>
    <row r="49" customFormat="false" ht="14.25" hidden="false" customHeight="false" outlineLevel="0" collapsed="false">
      <c r="A49" s="15" t="n">
        <f aca="false">EDATE(A48,1)</f>
        <v>44896</v>
      </c>
      <c r="B49" s="14" t="n">
        <f aca="false">VLOOKUP(A49,'Price Data'!$A$2:$F$150,6,FALSE())</f>
        <v>312.09</v>
      </c>
      <c r="C49" s="14" t="n">
        <f aca="false">VLOOKUP(A49,'Price Data'!$X$2:$AC$150,6,FALSE())</f>
        <v>1.0728</v>
      </c>
      <c r="D49" s="16" t="n">
        <f aca="false">B49*C49</f>
        <v>334.810152</v>
      </c>
      <c r="E49" s="14" t="n">
        <f aca="false">SUMIFS('Price Data'!$Q$2:$Q$150,'Price Data'!$L$2:$L$150,A49)</f>
        <v>14.57</v>
      </c>
      <c r="F49" s="17" t="n">
        <f aca="false">(D49-D48)/D48</f>
        <v>-0.0229490747083015</v>
      </c>
      <c r="G49" s="17" t="n">
        <f aca="false">(E49-E48)/E48</f>
        <v>-0.13633669235329</v>
      </c>
    </row>
    <row r="50" customFormat="false" ht="14.25" hidden="false" customHeight="false" outlineLevel="0" collapsed="false">
      <c r="A50" s="15" t="n">
        <f aca="false">EDATE(A49,1)</f>
        <v>44927</v>
      </c>
      <c r="B50" s="14" t="n">
        <f aca="false">VLOOKUP(A50,'Price Data'!$A$2:$F$150,6,FALSE())</f>
        <v>353.67</v>
      </c>
      <c r="C50" s="14" t="n">
        <f aca="false">VLOOKUP(A50,'Price Data'!$X$2:$AC$150,6,FALSE())</f>
        <v>1.0851</v>
      </c>
      <c r="D50" s="16" t="n">
        <f aca="false">B50*C50</f>
        <v>383.767317</v>
      </c>
      <c r="E50" s="14" t="n">
        <f aca="false">SUMIFS('Price Data'!$Q$2:$Q$150,'Price Data'!$L$2:$L$150,A50)</f>
        <v>19.47</v>
      </c>
      <c r="F50" s="17" t="n">
        <f aca="false">(D50-D49)/D49</f>
        <v>0.146223657519202</v>
      </c>
      <c r="G50" s="17" t="n">
        <f aca="false">(E50-E49)/E49</f>
        <v>0.3363074811256</v>
      </c>
    </row>
    <row r="51" customFormat="false" ht="14.25" hidden="false" customHeight="false" outlineLevel="0" collapsed="false">
      <c r="A51" s="15" t="n">
        <f aca="false">EDATE(A50,1)</f>
        <v>44958</v>
      </c>
      <c r="B51" s="14" t="n">
        <f aca="false">VLOOKUP(A51,'Price Data'!$A$2:$F$150,6,FALSE())</f>
        <v>350.91</v>
      </c>
      <c r="C51" s="14" t="n">
        <f aca="false">VLOOKUP(A51,'Price Data'!$X$2:$AC$150,6,FALSE())</f>
        <v>1.0611</v>
      </c>
      <c r="D51" s="16" t="n">
        <f aca="false">B51*C51</f>
        <v>372.350601</v>
      </c>
      <c r="E51" s="14" t="n">
        <f aca="false">SUMIFS('Price Data'!$Q$2:$Q$150,'Price Data'!$L$2:$L$150,A51)</f>
        <v>23.14</v>
      </c>
      <c r="F51" s="17" t="n">
        <f aca="false">(D51-D50)/D50</f>
        <v>-0.0297490575519749</v>
      </c>
      <c r="G51" s="17" t="n">
        <f aca="false">(E51-E50)/E50</f>
        <v>0.188495120698511</v>
      </c>
    </row>
    <row r="52" customFormat="false" ht="14.25" hidden="false" customHeight="false" outlineLevel="0" collapsed="false">
      <c r="A52" s="15" t="n">
        <f aca="false">EDATE(A51,1)</f>
        <v>44986</v>
      </c>
      <c r="B52" s="14" t="n">
        <f aca="false">VLOOKUP(A52,'Price Data'!$A$2:$F$150,6,FALSE())</f>
        <v>384.73</v>
      </c>
      <c r="C52" s="14" t="n">
        <f aca="false">VLOOKUP(A52,'Price Data'!$X$2:$AC$150,6,FALSE())</f>
        <v>1.0905</v>
      </c>
      <c r="D52" s="16" t="n">
        <f aca="false">B52*C52</f>
        <v>419.548065</v>
      </c>
      <c r="E52" s="14" t="n">
        <f aca="false">SUMIFS('Price Data'!$Q$2:$Q$150,'Price Data'!$L$2:$L$150,A52)</f>
        <v>27.69</v>
      </c>
      <c r="F52" s="17" t="n">
        <f aca="false">(D52-D51)/D51</f>
        <v>0.126755439290939</v>
      </c>
      <c r="G52" s="17" t="n">
        <f aca="false">(E52-E51)/E51</f>
        <v>0.196629213483146</v>
      </c>
    </row>
    <row r="53" customFormat="false" ht="14.25" hidden="false" customHeight="false" outlineLevel="0" collapsed="false">
      <c r="A53" s="15" t="n">
        <f aca="false">EDATE(A52,1)</f>
        <v>45017</v>
      </c>
      <c r="B53" s="14" t="n">
        <f aca="false">VLOOKUP(A53,'Price Data'!$A$2:$F$150,6,FALSE())</f>
        <v>410.54</v>
      </c>
      <c r="C53" s="14" t="n">
        <f aca="false">VLOOKUP(A53,'Price Data'!$X$2:$AC$150,6,FALSE())</f>
        <v>1.1128</v>
      </c>
      <c r="D53" s="16" t="n">
        <f aca="false">B53*C53</f>
        <v>456.848912</v>
      </c>
      <c r="E53" s="14" t="n">
        <f aca="false">SUMIFS('Price Data'!$Q$2:$Q$150,'Price Data'!$L$2:$L$150,A53)</f>
        <v>27.66</v>
      </c>
      <c r="F53" s="17" t="n">
        <f aca="false">(D53-D52)/D52</f>
        <v>0.0889072078070484</v>
      </c>
      <c r="G53" s="17" t="n">
        <f aca="false">(E53-E52)/E52</f>
        <v>-0.00108342361863493</v>
      </c>
    </row>
    <row r="54" customFormat="false" ht="14.25" hidden="false" customHeight="false" outlineLevel="0" collapsed="false">
      <c r="A54" s="15" t="n">
        <f aca="false">EDATE(A53,1)</f>
        <v>45047</v>
      </c>
      <c r="B54" s="14" t="n">
        <f aca="false">VLOOKUP(A54,'Price Data'!$A$2:$F$150,6,FALSE())</f>
        <v>378.53</v>
      </c>
      <c r="C54" s="14" t="n">
        <f aca="false">VLOOKUP(A54,'Price Data'!$X$2:$AC$150,6,FALSE())</f>
        <v>1.0733</v>
      </c>
      <c r="D54" s="16" t="n">
        <f aca="false">B54*C54</f>
        <v>406.276249</v>
      </c>
      <c r="E54" s="14" t="n">
        <f aca="false">SUMIFS('Price Data'!$Q$2:$Q$150,'Price Data'!$L$2:$L$150,A54)</f>
        <v>37.71</v>
      </c>
      <c r="F54" s="17" t="n">
        <f aca="false">(D54-D53)/D53</f>
        <v>-0.110698880245993</v>
      </c>
      <c r="G54" s="17" t="n">
        <f aca="false">(E54-E53)/E53</f>
        <v>0.363340563991323</v>
      </c>
    </row>
    <row r="55" customFormat="false" ht="14.25" hidden="false" customHeight="false" outlineLevel="0" collapsed="false">
      <c r="A55" s="15" t="n">
        <f aca="false">EDATE(A54,1)</f>
        <v>45078</v>
      </c>
      <c r="B55" s="14" t="n">
        <f aca="false">VLOOKUP(A55,'Price Data'!$A$2:$F$150,6,FALSE())</f>
        <v>405.18</v>
      </c>
      <c r="C55" s="14" t="n">
        <f aca="false">VLOOKUP(A55,'Price Data'!$X$2:$AC$150,6,FALSE())</f>
        <v>1.0868</v>
      </c>
      <c r="D55" s="16" t="n">
        <f aca="false">B55*C55</f>
        <v>440.349624</v>
      </c>
      <c r="E55" s="14" t="n">
        <f aca="false">SUMIFS('Price Data'!$Q$2:$Q$150,'Price Data'!$L$2:$L$150,A55)</f>
        <v>42.17</v>
      </c>
      <c r="F55" s="17" t="n">
        <f aca="false">(D55-D54)/D54</f>
        <v>0.0838675041523288</v>
      </c>
      <c r="G55" s="17" t="n">
        <f aca="false">(E55-E54)/E54</f>
        <v>0.118271015645717</v>
      </c>
    </row>
    <row r="56" customFormat="false" ht="14.25" hidden="false" customHeight="false" outlineLevel="0" collapsed="false">
      <c r="A56" s="15" t="n">
        <f aca="false">EDATE(A55,1)</f>
        <v>45108</v>
      </c>
      <c r="B56" s="14" t="n">
        <f aca="false">VLOOKUP(A56,'Price Data'!$A$2:$F$150,6,FALSE())</f>
        <v>401.48</v>
      </c>
      <c r="C56" s="14" t="n">
        <f aca="false">VLOOKUP(A56,'Price Data'!$X$2:$AC$150,6,FALSE())</f>
        <v>1.1024</v>
      </c>
      <c r="D56" s="16" t="n">
        <f aca="false">B56*C56</f>
        <v>442.591552</v>
      </c>
      <c r="E56" s="14" t="n">
        <f aca="false">SUMIFS('Price Data'!$Q$2:$Q$150,'Price Data'!$L$2:$L$150,A56)</f>
        <v>46.59</v>
      </c>
      <c r="F56" s="17" t="n">
        <f aca="false">(D56-D55)/D55</f>
        <v>0.00509124540549177</v>
      </c>
      <c r="G56" s="17" t="n">
        <f aca="false">(E56-E55)/E55</f>
        <v>0.104813848707612</v>
      </c>
    </row>
    <row r="57" customFormat="false" ht="14.25" hidden="false" customHeight="false" outlineLevel="0" collapsed="false">
      <c r="A57" s="15" t="n">
        <f aca="false">EDATE(A56,1)</f>
        <v>45139</v>
      </c>
      <c r="B57" s="14" t="n">
        <f aca="false">VLOOKUP(A57,'Price Data'!$A$2:$F$150,6,FALSE())</f>
        <v>384.98</v>
      </c>
      <c r="C57" s="14" t="n">
        <f aca="false">VLOOKUP(A57,'Price Data'!$X$2:$AC$150,6,FALSE())</f>
        <v>1.0933</v>
      </c>
      <c r="D57" s="16" t="n">
        <f aca="false">B57*C57</f>
        <v>420.898634</v>
      </c>
      <c r="E57" s="14" t="n">
        <f aca="false">SUMIFS('Price Data'!$Q$2:$Q$150,'Price Data'!$L$2:$L$150,A57)</f>
        <v>49.2</v>
      </c>
      <c r="F57" s="17" t="n">
        <f aca="false">(D57-D56)/D56</f>
        <v>-0.0490134027682481</v>
      </c>
      <c r="G57" s="17" t="n">
        <f aca="false">(E57-E56)/E56</f>
        <v>0.056020605280103</v>
      </c>
    </row>
    <row r="58" customFormat="false" ht="14.25" hidden="false" customHeight="false" outlineLevel="0" collapsed="false">
      <c r="A58" s="15" t="n">
        <f aca="false">EDATE(A57,1)</f>
        <v>45170</v>
      </c>
      <c r="B58" s="14" t="n">
        <f aca="false">VLOOKUP(A58,'Price Data'!$A$2:$F$150,6,FALSE())</f>
        <v>373.02</v>
      </c>
      <c r="C58" s="14" t="n">
        <f aca="false">VLOOKUP(A58,'Price Data'!$X$2:$AC$150,6,FALSE())</f>
        <v>1.0588</v>
      </c>
      <c r="D58" s="16" t="n">
        <f aca="false">B58*C58</f>
        <v>394.953576</v>
      </c>
      <c r="E58" s="14" t="n">
        <f aca="false">SUMIFS('Price Data'!$Q$2:$Q$150,'Price Data'!$L$2:$L$150,A58)</f>
        <v>43.37</v>
      </c>
      <c r="F58" s="17" t="n">
        <f aca="false">(D58-D57)/D57</f>
        <v>-0.0616420579782639</v>
      </c>
      <c r="G58" s="17" t="n">
        <f aca="false">(E58-E57)/E57</f>
        <v>-0.11849593495935</v>
      </c>
    </row>
    <row r="59" customFormat="false" ht="14.25" hidden="false" customHeight="false" outlineLevel="0" collapsed="false">
      <c r="A59" s="15" t="n">
        <f aca="false">EDATE(A58,1)</f>
        <v>45200</v>
      </c>
      <c r="B59" s="14" t="n">
        <f aca="false">VLOOKUP(A59,'Price Data'!$A$2:$F$150,6,FALSE())</f>
        <v>375.82</v>
      </c>
      <c r="C59" s="14" t="n">
        <f aca="false">VLOOKUP(A59,'Price Data'!$X$2:$AC$150,6,FALSE())</f>
        <v>1.0615</v>
      </c>
      <c r="D59" s="16" t="n">
        <f aca="false">B59*C59</f>
        <v>398.93293</v>
      </c>
      <c r="E59" s="14" t="n">
        <f aca="false">SUMIFS('Price Data'!$Q$2:$Q$150,'Price Data'!$L$2:$L$150,A59)</f>
        <v>40.66</v>
      </c>
      <c r="F59" s="17" t="n">
        <f aca="false">(D59-D58)/D58</f>
        <v>0.0100754980884136</v>
      </c>
      <c r="G59" s="17" t="n">
        <f aca="false">(E59-E58)/E58</f>
        <v>-0.0624855891169011</v>
      </c>
    </row>
    <row r="60" customFormat="false" ht="14.25" hidden="false" customHeight="false" outlineLevel="0" collapsed="false">
      <c r="A60" s="15" t="n">
        <f aca="false">EDATE(A59,1)</f>
        <v>45231</v>
      </c>
      <c r="B60" s="14" t="n">
        <f aca="false">VLOOKUP(A60,'Price Data'!$A$2:$F$150,6,FALSE())</f>
        <v>408.93</v>
      </c>
      <c r="C60" s="14" t="n">
        <f aca="false">VLOOKUP(A60,'Price Data'!$X$2:$AC$150,6,FALSE())</f>
        <v>1.0974</v>
      </c>
      <c r="D60" s="16" t="n">
        <f aca="false">B60*C60</f>
        <v>448.759782</v>
      </c>
      <c r="E60" s="14" t="n">
        <f aca="false">SUMIFS('Price Data'!$Q$2:$Q$150,'Price Data'!$L$2:$L$150,A60)</f>
        <v>46.63</v>
      </c>
      <c r="F60" s="17" t="n">
        <f aca="false">(D60-D59)/D59</f>
        <v>0.124900323470414</v>
      </c>
      <c r="G60" s="17" t="n">
        <f aca="false">(E60-E59)/E59</f>
        <v>0.146827348745696</v>
      </c>
    </row>
    <row r="61" customFormat="false" ht="14.25" hidden="false" customHeight="false" outlineLevel="0" collapsed="false">
      <c r="A61" s="15" t="n">
        <f aca="false">EDATE(A60,1)</f>
        <v>45261</v>
      </c>
      <c r="B61" s="14" t="n">
        <f aca="false">VLOOKUP(A61,'Price Data'!$A$2:$F$150,6,FALSE())</f>
        <v>427.53</v>
      </c>
      <c r="C61" s="14" t="n">
        <f aca="false">VLOOKUP(A61,'Price Data'!$X$2:$AC$150,6,FALSE())</f>
        <v>1.1056</v>
      </c>
      <c r="D61" s="16" t="n">
        <f aca="false">B61*C61</f>
        <v>472.677168</v>
      </c>
      <c r="E61" s="14" t="n">
        <f aca="false">SUMIFS('Price Data'!$Q$2:$Q$150,'Price Data'!$L$2:$L$150,A61)</f>
        <v>49.38</v>
      </c>
      <c r="F61" s="17" t="n">
        <f aca="false">(D61-D60)/D60</f>
        <v>0.0532966343227254</v>
      </c>
      <c r="G61" s="17" t="n">
        <f aca="false">(E61-E60)/E60</f>
        <v>0.058974908856959</v>
      </c>
    </row>
    <row r="62" customFormat="false" ht="14.25" hidden="false" customHeight="false" outlineLevel="0" collapsed="false">
      <c r="A62" s="15" t="n">
        <f aca="false">EDATE(A61,1)</f>
        <v>45292</v>
      </c>
      <c r="B62" s="14" t="n">
        <f aca="false">VLOOKUP(A62,'Price Data'!$A$2:$F$150,6,FALSE())</f>
        <v>421.88</v>
      </c>
      <c r="C62" s="14" t="n">
        <f aca="false">VLOOKUP(A62,'Price Data'!$X$2:$AC$150,6,FALSE())</f>
        <v>1.0843</v>
      </c>
      <c r="D62" s="16" t="n">
        <f aca="false">B62*C62</f>
        <v>457.444484</v>
      </c>
      <c r="E62" s="14" t="n">
        <f aca="false">SUMIFS('Price Data'!$Q$2:$Q$150,'Price Data'!$L$2:$L$150,A62)</f>
        <v>61.35</v>
      </c>
      <c r="F62" s="17" t="n">
        <f aca="false">(D62-D61)/D61</f>
        <v>-0.0322264010856559</v>
      </c>
      <c r="G62" s="17" t="n">
        <f aca="false">(E62-E61)/E61</f>
        <v>0.242405832320778</v>
      </c>
    </row>
    <row r="63" customFormat="false" ht="14.25" hidden="false" customHeight="false" outlineLevel="0" collapsed="false">
      <c r="A63" s="15" t="n">
        <f aca="false">EDATE(A62,1)</f>
        <v>45323</v>
      </c>
      <c r="B63" s="14" t="n">
        <f aca="false">VLOOKUP(A63,'Price Data'!$A$2:$F$150,6,FALSE())</f>
        <v>419.04</v>
      </c>
      <c r="C63" s="14" t="n">
        <f aca="false">VLOOKUP(A63,'Price Data'!$X$2:$AC$150,6,FALSE())</f>
        <v>1.0839</v>
      </c>
      <c r="D63" s="16" t="n">
        <f aca="false">B63*C63</f>
        <v>454.197456</v>
      </c>
      <c r="E63" s="14" t="n">
        <f aca="false">SUMIFS('Price Data'!$Q$2:$Q$150,'Price Data'!$L$2:$L$150,A63)</f>
        <v>78.88</v>
      </c>
      <c r="F63" s="17" t="n">
        <f aca="false">(D63-D62)/D62</f>
        <v>-0.0070981903019295</v>
      </c>
      <c r="G63" s="17" t="n">
        <f aca="false">(E63-E62)/E62</f>
        <v>0.285737571312143</v>
      </c>
    </row>
    <row r="64" customFormat="false" ht="14.25" hidden="false" customHeight="false" outlineLevel="0" collapsed="false">
      <c r="A64" s="15" t="n">
        <f aca="false">EDATE(A63,1)</f>
        <v>45352</v>
      </c>
      <c r="B64" s="14" t="n">
        <f aca="false">VLOOKUP(A64,'Price Data'!$A$2:$F$150,6,FALSE())</f>
        <v>416.14</v>
      </c>
      <c r="C64" s="14" t="n">
        <f aca="false">VLOOKUP(A64,'Price Data'!$X$2:$AC$150,6,FALSE())</f>
        <v>1.0801</v>
      </c>
      <c r="D64" s="16" t="n">
        <f aca="false">B64*C64</f>
        <v>449.472814</v>
      </c>
      <c r="E64" s="14" t="n">
        <f aca="false">SUMIFS('Price Data'!$Q$2:$Q$150,'Price Data'!$L$2:$L$150,A64)</f>
        <v>90.1</v>
      </c>
      <c r="F64" s="17" t="n">
        <f aca="false">(D64-D63)/D63</f>
        <v>-0.0104021762728676</v>
      </c>
      <c r="G64" s="17" t="n">
        <f aca="false">(E64-E63)/E63</f>
        <v>0.142241379310345</v>
      </c>
    </row>
    <row r="65" customFormat="false" ht="14.25" hidden="false" customHeight="false" outlineLevel="0" collapsed="false">
      <c r="A65" s="15" t="n">
        <f aca="false">EDATE(A64,1)</f>
        <v>45383</v>
      </c>
      <c r="B65" s="14" t="n">
        <f aca="false">VLOOKUP(A65,'Price Data'!$A$2:$F$150,6,FALSE())</f>
        <v>423.51</v>
      </c>
      <c r="C65" s="14" t="n">
        <f aca="false">VLOOKUP(A65,'Price Data'!$X$2:$AC$150,6,FALSE())</f>
        <v>1.0716</v>
      </c>
      <c r="D65" s="16" t="n">
        <f aca="false">B65*C65</f>
        <v>453.833316</v>
      </c>
      <c r="E65" s="14" t="n">
        <f aca="false">SUMIFS('Price Data'!$Q$2:$Q$150,'Price Data'!$L$2:$L$150,A65)</f>
        <v>86.16</v>
      </c>
      <c r="F65" s="17" t="n">
        <f aca="false">(D65-D64)/D64</f>
        <v>0.00970136983635232</v>
      </c>
      <c r="G65" s="17" t="n">
        <f aca="false">(E65-E64)/E64</f>
        <v>-0.0437291897891232</v>
      </c>
    </row>
    <row r="66" customFormat="false" ht="14.25" hidden="false" customHeight="false" outlineLevel="0" collapsed="false">
      <c r="A66" s="15" t="n">
        <f aca="false">EDATE(A65,1)</f>
        <v>45413</v>
      </c>
      <c r="B66" s="14" t="n">
        <f aca="false">VLOOKUP(A66,'Price Data'!$A$2:$F$150,6,FALSE())</f>
        <v>435.5</v>
      </c>
      <c r="C66" s="14" t="n">
        <f aca="false">VLOOKUP(A66,'Price Data'!$X$2:$AC$150,6,FALSE())</f>
        <v>1.0835</v>
      </c>
      <c r="D66" s="16" t="n">
        <f aca="false">B66*C66</f>
        <v>471.86425</v>
      </c>
      <c r="E66" s="14" t="n">
        <f aca="false">SUMIFS('Price Data'!$Q$2:$Q$150,'Price Data'!$L$2:$L$150,A66)</f>
        <v>109.32</v>
      </c>
      <c r="F66" s="17" t="n">
        <f aca="false">(D66-D65)/D65</f>
        <v>0.0397303004524241</v>
      </c>
      <c r="G66" s="17" t="n">
        <f aca="false">(E66-E65)/E65</f>
        <v>0.268802228412256</v>
      </c>
    </row>
    <row r="67" customFormat="false" ht="14.25" hidden="false" customHeight="false" outlineLevel="0" collapsed="false">
      <c r="A67" s="15" t="n">
        <f aca="false">EDATE(A66,1)</f>
        <v>45444</v>
      </c>
      <c r="B67" s="14" t="n">
        <f aca="false">VLOOKUP(A67,'Price Data'!$A$2:$F$150,6,FALSE())</f>
        <v>394.99</v>
      </c>
      <c r="C67" s="14" t="n">
        <f aca="false">VLOOKUP(A67,'Price Data'!$X$2:$AC$150,6,FALSE())</f>
        <v>1.0722</v>
      </c>
      <c r="D67" s="16" t="n">
        <f aca="false">B67*C67</f>
        <v>423.508278</v>
      </c>
      <c r="E67" s="14" t="n">
        <f aca="false">SUMIFS('Price Data'!$Q$2:$Q$150,'Price Data'!$L$2:$L$150,A67)</f>
        <v>123.2</v>
      </c>
      <c r="F67" s="17" t="n">
        <f aca="false">(D67-D66)/D66</f>
        <v>-0.102478566664035</v>
      </c>
      <c r="G67" s="17" t="n">
        <f aca="false">(E67-E66)/E66</f>
        <v>0.126966703256495</v>
      </c>
    </row>
    <row r="68" customFormat="false" ht="14.25" hidden="false" customHeight="false" outlineLevel="0" collapsed="false">
      <c r="A68" s="15" t="n">
        <f aca="false">EDATE(A67,1)</f>
        <v>45474</v>
      </c>
      <c r="B68" s="14" t="n">
        <f aca="false">VLOOKUP(A68,'Price Data'!$A$2:$F$150,6,FALSE())</f>
        <v>385.94</v>
      </c>
      <c r="C68" s="14" t="n">
        <f aca="false">VLOOKUP(A68,'Price Data'!$X$2:$AC$150,6,FALSE())</f>
        <v>1.0816</v>
      </c>
      <c r="D68" s="16" t="n">
        <f aca="false">B68*C68</f>
        <v>417.432704</v>
      </c>
      <c r="E68" s="14" t="n">
        <f aca="false">SUMIFS('Price Data'!$Q$2:$Q$150,'Price Data'!$L$2:$L$150,A68)</f>
        <v>116.7</v>
      </c>
      <c r="F68" s="17" t="n">
        <f aca="false">(D68-D67)/D67</f>
        <v>-0.0143458211222971</v>
      </c>
      <c r="G68" s="17" t="n">
        <f aca="false">(E68-E67)/E67</f>
        <v>-0.0527597402597403</v>
      </c>
    </row>
    <row r="69" customFormat="false" ht="14.25" hidden="false" customHeight="false" outlineLevel="0" collapsed="false">
      <c r="A69" s="15" t="n">
        <f aca="false">EDATE(A68,1)</f>
        <v>45505</v>
      </c>
      <c r="B69" s="14" t="n">
        <f aca="false">VLOOKUP(A69,'Price Data'!$A$2:$F$150,6,FALSE())</f>
        <v>382.04</v>
      </c>
      <c r="C69" s="14" t="n">
        <f aca="false">VLOOKUP(A69,'Price Data'!$X$2:$AC$150,6,FALSE())</f>
        <v>1.1062</v>
      </c>
      <c r="D69" s="16" t="n">
        <f aca="false">B69*C69</f>
        <v>422.612648</v>
      </c>
      <c r="E69" s="14" t="n">
        <f aca="false">SUMIFS('Price Data'!$Q$2:$Q$150,'Price Data'!$L$2:$L$150,A69)</f>
        <v>119.04</v>
      </c>
      <c r="F69" s="17" t="n">
        <f aca="false">(D69-D68)/D68</f>
        <v>0.0124090516875268</v>
      </c>
      <c r="G69" s="17" t="n">
        <f aca="false">(E69-E68)/E68</f>
        <v>0.0200514138817481</v>
      </c>
    </row>
    <row r="70" customFormat="false" ht="14.25" hidden="false" customHeight="false" outlineLevel="0" collapsed="false">
      <c r="A70" s="15" t="n">
        <f aca="false">EDATE(A69,1)</f>
        <v>45536</v>
      </c>
      <c r="B70" s="14" t="n">
        <f aca="false">VLOOKUP(A70,'Price Data'!$A$2:$F$150,6,FALSE())</f>
        <v>387.29</v>
      </c>
      <c r="C70" s="14" t="n">
        <f aca="false">VLOOKUP(A70,'Price Data'!$X$2:$AC$150,6,FALSE())</f>
        <v>1.117</v>
      </c>
      <c r="D70" s="16" t="n">
        <f aca="false">B70*C70</f>
        <v>432.60293</v>
      </c>
      <c r="E70" s="14" t="n">
        <f aca="false">SUMIFS('Price Data'!$Q$2:$Q$150,'Price Data'!$L$2:$L$150,A70)</f>
        <v>121.12</v>
      </c>
      <c r="F70" s="17" t="n">
        <f aca="false">(D70-D69)/D69</f>
        <v>0.0236393350915517</v>
      </c>
      <c r="G70" s="17" t="n">
        <f aca="false">(E70-E69)/E69</f>
        <v>0.0174731182795699</v>
      </c>
    </row>
    <row r="71" customFormat="false" ht="14.25" hidden="false" customHeight="false" outlineLevel="0" collapsed="false">
      <c r="A71" s="15" t="n">
        <f aca="false">EDATE(A70,1)</f>
        <v>45566</v>
      </c>
      <c r="B71" s="14" t="n">
        <f aca="false">VLOOKUP(A71,'Price Data'!$A$2:$F$150,6,FALSE())</f>
        <v>331.61</v>
      </c>
      <c r="C71" s="14" t="n">
        <f aca="false">VLOOKUP(A71,'Price Data'!$X$2:$AC$150,6,FALSE())</f>
        <v>1.0859</v>
      </c>
      <c r="D71" s="16" t="n">
        <f aca="false">B71*C71</f>
        <v>360.095299</v>
      </c>
      <c r="E71" s="14" t="n">
        <f aca="false">SUMIFS('Price Data'!$Q$2:$Q$150,'Price Data'!$L$2:$L$150,A71)</f>
        <v>132.4</v>
      </c>
      <c r="F71" s="17" t="n">
        <f aca="false">(D71-D70)/D70</f>
        <v>-0.16760781301227</v>
      </c>
      <c r="G71" s="17" t="n">
        <f aca="false">(E71-E70)/E70</f>
        <v>0.0931307793923382</v>
      </c>
    </row>
    <row r="72" customFormat="false" ht="14.25" hidden="false" customHeight="false" outlineLevel="0" collapsed="false">
      <c r="A72" s="15" t="n">
        <f aca="false">EDATE(A71,1)</f>
        <v>45597</v>
      </c>
      <c r="B72" s="14" t="n">
        <f aca="false">VLOOKUP(A72,'Price Data'!$A$2:$F$150,6,FALSE())</f>
        <v>316.58</v>
      </c>
      <c r="C72" s="14" t="n">
        <f aca="false">VLOOKUP(A72,'Price Data'!$X$2:$AC$150,6,FALSE())</f>
        <v>1.0581</v>
      </c>
      <c r="D72" s="16" t="n">
        <f aca="false">B72*C72</f>
        <v>334.973298</v>
      </c>
      <c r="E72" s="14" t="n">
        <f aca="false">SUMIFS('Price Data'!$Q$2:$Q$150,'Price Data'!$L$2:$L$150,A72)</f>
        <v>137.88</v>
      </c>
      <c r="F72" s="17" t="n">
        <f aca="false">(D72-D71)/D71</f>
        <v>-0.0697648679940142</v>
      </c>
      <c r="G72" s="17" t="n">
        <f aca="false">(E72-E71)/E71</f>
        <v>0.0413897280966767</v>
      </c>
    </row>
    <row r="73" customFormat="false" ht="14.25" hidden="false" customHeight="false" outlineLevel="0" collapsed="false">
      <c r="A73" s="15" t="n">
        <f aca="false">EDATE(A72,1)</f>
        <v>45627</v>
      </c>
      <c r="B73" s="14" t="n">
        <f aca="false">VLOOKUP(A73,'Price Data'!$A$2:$F$150,6,FALSE())</f>
        <v>329.3</v>
      </c>
      <c r="C73" s="14" t="n">
        <f aca="false">VLOOKUP(A73,'Price Data'!$X$2:$AC$150,6,FALSE())</f>
        <v>1.0406</v>
      </c>
      <c r="D73" s="16" t="n">
        <f aca="false">B73*C73</f>
        <v>342.66958</v>
      </c>
      <c r="E73" s="14" t="n">
        <f aca="false">SUMIFS('Price Data'!$Q$2:$Q$150,'Price Data'!$L$2:$L$150,A73)</f>
        <v>133.94</v>
      </c>
      <c r="F73" s="17" t="n">
        <f aca="false">(D73-D72)/D72</f>
        <v>0.022975807462719</v>
      </c>
      <c r="G73" s="17" t="n">
        <f aca="false">(E73-E72)/E72</f>
        <v>-0.0285755729619959</v>
      </c>
    </row>
    <row r="74" customFormat="false" ht="14.25" hidden="false" customHeight="false" outlineLevel="0" collapsed="false">
      <c r="A74" s="15" t="n">
        <f aca="false">EDATE(A73,1)</f>
        <v>45658</v>
      </c>
      <c r="B74" s="14" t="n">
        <f aca="false">VLOOKUP(A74,'Price Data'!$A$2:$F$150,6,FALSE())</f>
        <v>345.34</v>
      </c>
      <c r="C74" s="14" t="n">
        <f aca="false">VLOOKUP(A74,'Price Data'!$X$2:$AC$150,6,FALSE())</f>
        <v>1.0397</v>
      </c>
      <c r="D74" s="16" t="n">
        <f aca="false">B74*C74</f>
        <v>359.049998</v>
      </c>
      <c r="E74" s="14" t="n">
        <f aca="false">SUMIFS('Price Data'!$Q$2:$Q$150,'Price Data'!$L$2:$L$150,A74)</f>
        <v>119.76</v>
      </c>
      <c r="F74" s="17" t="n">
        <f aca="false">(D74-D73)/D73</f>
        <v>0.047802369851447</v>
      </c>
      <c r="G74" s="17" t="n">
        <f aca="false">(E74-E73)/E73</f>
        <v>-0.105868299238465</v>
      </c>
    </row>
    <row r="75" customFormat="false" ht="14.25" hidden="false" customHeight="false" outlineLevel="0" collapsed="false">
      <c r="A75" s="15" t="n">
        <f aca="false">EDATE(A74,1)</f>
        <v>45689</v>
      </c>
      <c r="B75" s="14" t="n">
        <f aca="false">VLOOKUP(A75,'Price Data'!$A$2:$F$150,6,FALSE())</f>
        <v>340.04</v>
      </c>
      <c r="C75" s="14" t="n">
        <f aca="false">VLOOKUP(A75,'Price Data'!$X$2:$AC$150,6,FALSE())</f>
        <v>1.0395</v>
      </c>
      <c r="D75" s="16" t="n">
        <f aca="false">B75*C75</f>
        <v>353.47158</v>
      </c>
      <c r="E75" s="14" t="n">
        <f aca="false">SUMIFS('Price Data'!$Q$2:$Q$150,'Price Data'!$L$2:$L$150,A75)</f>
        <v>124.59</v>
      </c>
      <c r="F75" s="17" t="n">
        <f aca="false">(D75-D74)/D74</f>
        <v>-0.0155366050162182</v>
      </c>
      <c r="G75" s="17" t="n">
        <f aca="false">(E75-E74)/E74</f>
        <v>0.0403306613226453</v>
      </c>
    </row>
    <row r="76" customFormat="false" ht="14.25" hidden="false" customHeight="false" outlineLevel="0" collapsed="false">
      <c r="A76" s="15" t="n">
        <f aca="false">EDATE(A75,1)</f>
        <v>45717</v>
      </c>
      <c r="B76" s="14" t="n">
        <f aca="false">VLOOKUP(A76,'Price Data'!$A$2:$F$150,6,FALSE())</f>
        <v>330.26</v>
      </c>
      <c r="C76" s="14" t="n">
        <f aca="false">VLOOKUP(A76,'Price Data'!$X$2:$AC$150,6,FALSE())</f>
        <v>1.0824</v>
      </c>
      <c r="D76" s="16" t="n">
        <f aca="false">B76*C76</f>
        <v>357.473424</v>
      </c>
      <c r="E76" s="14" t="n">
        <f aca="false">SUMIFS('Price Data'!$Q$2:$Q$150,'Price Data'!$L$2:$L$150,A76)</f>
        <v>108.11</v>
      </c>
      <c r="F76" s="17" t="n">
        <f aca="false">(D76-D75)/D75</f>
        <v>0.0113215438706556</v>
      </c>
      <c r="G76" s="17" t="n">
        <f aca="false">(E76-E75)/E75</f>
        <v>-0.132273858255077</v>
      </c>
    </row>
    <row r="77" customFormat="false" ht="14.25" hidden="false" customHeight="false" outlineLevel="0" collapsed="false">
      <c r="A77" s="15" t="n">
        <f aca="false">EDATE(A76,1)</f>
        <v>45748</v>
      </c>
      <c r="B77" s="14" t="n">
        <f aca="false">VLOOKUP(A77,'Price Data'!$A$2:$F$150,6,FALSE())</f>
        <v>372.79</v>
      </c>
      <c r="C77" s="14" t="n">
        <f aca="false">VLOOKUP(A77,'Price Data'!$X$2:$AC$150,6,FALSE())</f>
        <v>1.1389</v>
      </c>
      <c r="D77" s="16" t="n">
        <f aca="false">B77*C77</f>
        <v>424.570531</v>
      </c>
      <c r="E77" s="14" t="n">
        <f aca="false">SUMIFS('Price Data'!$Q$2:$Q$150,'Price Data'!$L$2:$L$150,A77)</f>
        <v>108.65</v>
      </c>
      <c r="F77" s="17" t="n">
        <f aca="false">(D77-D76)/D76</f>
        <v>0.187698168577701</v>
      </c>
      <c r="G77" s="17" t="n">
        <f aca="false">(E77-E76)/E76</f>
        <v>0.00499491258902975</v>
      </c>
    </row>
    <row r="78" customFormat="false" ht="14.25" hidden="false" customHeight="false" outlineLevel="0" collapsed="false">
      <c r="A78" s="15" t="n">
        <f aca="false">EDATE(A77,1)</f>
        <v>45778</v>
      </c>
      <c r="B78" s="14" t="n">
        <f aca="false">VLOOKUP(A78,'Price Data'!$A$2:$F$150,6,FALSE())</f>
        <v>365.23</v>
      </c>
      <c r="C78" s="14" t="n">
        <f aca="false">VLOOKUP(A78,'Price Data'!$X$2:$AC$150,6,FALSE())</f>
        <v>1.1351</v>
      </c>
      <c r="D78" s="16" t="n">
        <f aca="false">B78*C78</f>
        <v>414.572573</v>
      </c>
      <c r="E78" s="14" t="n">
        <f aca="false">SUMIFS('Price Data'!$Q$2:$Q$150,'Price Data'!$L$2:$L$150,A78)</f>
        <v>134.79</v>
      </c>
      <c r="F78" s="17" t="n">
        <f aca="false">(D78-D77)/D77</f>
        <v>-0.0235484030802882</v>
      </c>
      <c r="G78" s="17" t="n">
        <f aca="false">(E78-E77)/E77</f>
        <v>0.240589047399908</v>
      </c>
    </row>
    <row r="79" customFormat="false" ht="14.25" hidden="false" customHeight="false" outlineLevel="0" collapsed="false">
      <c r="A79" s="15" t="n">
        <f aca="false">EDATE(A78,1)</f>
        <v>45809</v>
      </c>
      <c r="B79" s="14" t="n">
        <f aca="false">VLOOKUP(A79,'Price Data'!$A$2:$F$150,6,FALSE())</f>
        <v>356.1</v>
      </c>
      <c r="C79" s="14" t="n">
        <f aca="false">VLOOKUP(A79,'Price Data'!$X$2:$AC$150,6,FALSE())</f>
        <v>1.1727</v>
      </c>
      <c r="D79" s="16" t="n">
        <f aca="false">B79*C79</f>
        <v>417.59847</v>
      </c>
      <c r="E79" s="14" t="n">
        <f aca="false">SUMIFS('Price Data'!$Q$2:$Q$150,'Price Data'!$L$2:$L$150,A79)</f>
        <v>157.6</v>
      </c>
      <c r="F79" s="17" t="n">
        <f aca="false">(D79-D78)/D78</f>
        <v>0.00729883546830784</v>
      </c>
      <c r="G79" s="17" t="n">
        <f aca="false">(E79-E78)/E78</f>
        <v>0.169226203724312</v>
      </c>
    </row>
    <row r="80" customFormat="false" ht="14.25" hidden="false" customHeight="false" outlineLevel="0" collapsed="false">
      <c r="A80" s="15" t="n">
        <f aca="false">EDATE(A79,1)</f>
        <v>45839</v>
      </c>
      <c r="B80" s="14" t="n">
        <f aca="false">VLOOKUP(A80,'Price Data'!$A$2:$F$150,6,FALSE())</f>
        <v>381.85</v>
      </c>
      <c r="C80" s="14" t="n">
        <f aca="false">VLOOKUP(A80,'Price Data'!$X$2:$AC$150,6,FALSE())</f>
        <v>1.1429</v>
      </c>
      <c r="D80" s="16" t="n">
        <f aca="false">B80*C80</f>
        <v>436.416365</v>
      </c>
      <c r="E80" s="14" t="n">
        <f aca="false">SUMIFS('Price Data'!$Q$2:$Q$150,'Price Data'!$L$2:$L$150,A80)</f>
        <v>177.43</v>
      </c>
      <c r="F80" s="17" t="n">
        <f aca="false">(D80-D79)/D79</f>
        <v>0.0450621741980998</v>
      </c>
      <c r="G80" s="17" t="n">
        <f aca="false">(E80-E79)/E79</f>
        <v>0.125824873096447</v>
      </c>
    </row>
    <row r="81" customFormat="false" ht="14.25" hidden="false" customHeight="false" outlineLevel="0" collapsed="false">
      <c r="A81" s="15" t="n">
        <f aca="false">EDATE(A80,1)</f>
        <v>45870</v>
      </c>
      <c r="B81" s="14" t="n">
        <f aca="false">VLOOKUP(A81,'Price Data'!$A$2:$F$150,6,FALSE())</f>
        <v>390.23</v>
      </c>
      <c r="C81" s="14" t="n">
        <f aca="false">VLOOKUP(A81,'Price Data'!$X$2:$AC$150,6,FALSE())</f>
        <v>1.1686</v>
      </c>
      <c r="D81" s="16" t="n">
        <f aca="false">B81*C81</f>
        <v>456.022778</v>
      </c>
      <c r="E81" s="14" t="n">
        <f aca="false">SUMIFS('Price Data'!$Q$2:$Q$150,'Price Data'!$L$2:$L$150,A81)</f>
        <v>173.75</v>
      </c>
      <c r="F81" s="17" t="n">
        <f aca="false">(D81-D80)/D80</f>
        <v>0.0449259344341957</v>
      </c>
      <c r="G81" s="17" t="n">
        <f aca="false">(E81-E80)/E80</f>
        <v>-0.0207405737473934</v>
      </c>
    </row>
    <row r="82" customFormat="false" ht="14.25" hidden="false" customHeight="false" outlineLevel="0" collapsed="false">
      <c r="A82" s="15" t="n">
        <f aca="false">EDATE(A81,1)</f>
        <v>45901</v>
      </c>
      <c r="B82" s="14" t="n">
        <f aca="false">VLOOKUP(A82,'Price Data'!$A$2:$F$150,6,FALSE())</f>
        <v>361.4</v>
      </c>
      <c r="C82" s="14" t="n">
        <f aca="false">VLOOKUP(A82,'Price Data'!$X$2:$AC$150,6,FALSE())</f>
        <v>1.1731</v>
      </c>
      <c r="D82" s="16" t="n">
        <f aca="false">B82*C82</f>
        <v>423.95834</v>
      </c>
      <c r="E82" s="14" t="n">
        <f aca="false">SUMIFS('Price Data'!$Q$2:$Q$150,'Price Data'!$L$2:$L$150,A82)</f>
        <v>186.13</v>
      </c>
      <c r="F82" s="17" t="n">
        <f aca="false">(D82-D81)/D81</f>
        <v>-0.070313237730419</v>
      </c>
      <c r="G82" s="17" t="n">
        <f aca="false">(E82-E81)/E81</f>
        <v>0.0712517985611511</v>
      </c>
    </row>
    <row r="83" customFormat="false" ht="14.25" hidden="false" customHeight="false" outlineLevel="0" collapsed="false">
      <c r="A83" s="15" t="n">
        <f aca="false">EDATE(A82,1)</f>
        <v>45931</v>
      </c>
      <c r="B83" s="14" t="n">
        <f aca="false">VLOOKUP(A83,'Price Data'!$A$2:$F$150,6,FALSE())</f>
        <v>355.66</v>
      </c>
      <c r="C83" s="14" t="n">
        <f aca="false">VLOOKUP(A83,'Price Data'!$X$2:$AC$150,6,FALSE())</f>
        <v>1.1572</v>
      </c>
      <c r="D83" s="16" t="n">
        <f aca="false">B83*C83</f>
        <v>411.569752</v>
      </c>
      <c r="E83" s="14" t="n">
        <f aca="false">SUMIFS('Price Data'!$Q$2:$Q$150,'Price Data'!$L$2:$L$150,A83)</f>
        <v>202.01</v>
      </c>
      <c r="F83" s="17" t="n">
        <f aca="false">(D83-D82)/D82</f>
        <v>-0.0292212390491007</v>
      </c>
      <c r="G83" s="17" t="n">
        <f aca="false">(E83-E82)/E82</f>
        <v>0.0853167141245366</v>
      </c>
    </row>
    <row r="84" customFormat="false" ht="14.25" hidden="false" customHeight="false" outlineLevel="0" collapsed="false">
      <c r="A84" s="15" t="n">
        <f aca="false">EDATE(A83,1)</f>
        <v>45962</v>
      </c>
      <c r="B84" s="14" t="n">
        <f aca="false">VLOOKUP(A84,'Price Data'!$A$2:$F$150,6,FALSE())</f>
        <v>368.36</v>
      </c>
      <c r="C84" s="14" t="n">
        <f aca="false">VLOOKUP(A84,'Price Data'!$X$2:$AC$150,6,FALSE())</f>
        <v>1.1597</v>
      </c>
      <c r="D84" s="16" t="n">
        <f aca="false">B84*C84</f>
        <v>427.187092</v>
      </c>
      <c r="E84" s="14" t="n">
        <f aca="false">SUMIFS('Price Data'!$Q$2:$Q$150,'Price Data'!$L$2:$L$150,A84)</f>
        <v>176.58</v>
      </c>
      <c r="F84" s="17" t="n">
        <f aca="false">(D84-D83)/D83</f>
        <v>0.0379457915070492</v>
      </c>
      <c r="G84" s="17" t="n">
        <f aca="false">(E84-E83)/E83</f>
        <v>-0.125884857185288</v>
      </c>
    </row>
    <row r="85" customFormat="false" ht="14.25" hidden="false" customHeight="false" outlineLevel="0" collapsed="false">
      <c r="A85" s="15" t="n">
        <f aca="false">EDATE(A84,1)</f>
        <v>45992</v>
      </c>
      <c r="B85" s="14" t="n">
        <f aca="false">VLOOKUP(A85,'Price Data'!$A$2:$F$150,6,FALSE())</f>
        <v>359.54</v>
      </c>
      <c r="C85" s="14" t="n">
        <f aca="false">VLOOKUP(A85,'Price Data'!$X$2:$AC$150,6,FALSE())</f>
        <v>1.1747</v>
      </c>
      <c r="D85" s="16" t="n">
        <f aca="false">B85*C85</f>
        <v>422.351638</v>
      </c>
      <c r="E85" s="14" t="n">
        <f aca="false">SUMIFS('Price Data'!$Q$2:$Q$150,'Price Data'!$L$2:$L$150,A85)</f>
        <v>186.06</v>
      </c>
      <c r="F85" s="17" t="n">
        <f aca="false">(D85-D84)/D84</f>
        <v>-0.0113192886455473</v>
      </c>
      <c r="G85" s="17" t="n">
        <f aca="false">(E85-E84)/E84</f>
        <v>0.0536867142371729</v>
      </c>
    </row>
    <row r="86" customFormat="false" ht="14.25" hidden="false" customHeight="false" outlineLevel="0" collapsed="false">
      <c r="A86" s="15" t="n">
        <f aca="false">EDATE(A85,1)</f>
        <v>46023</v>
      </c>
      <c r="B86" s="14" t="n">
        <f aca="false">VLOOKUP(A86,'Price Data'!$A$2:$F$150,6,FALSE())</f>
        <v>379.54</v>
      </c>
      <c r="C86" s="14" t="n">
        <f aca="false">VLOOKUP(A86,'Price Data'!$X$2:$AC$150,6,FALSE())</f>
        <v>1.1855</v>
      </c>
      <c r="D86" s="16" t="n">
        <f aca="false">B86*C86</f>
        <v>449.94467</v>
      </c>
      <c r="E86" s="14" t="n">
        <f aca="false">SUMIFS('Price Data'!$Q$2:$Q$150,'Price Data'!$L$2:$L$150,A86)</f>
        <v>190.68</v>
      </c>
      <c r="F86" s="17" t="n">
        <f aca="false">(D86-D85)/D85</f>
        <v>0.0653318929474591</v>
      </c>
      <c r="G86" s="17" t="n">
        <f aca="false">(E86-E85)/E85</f>
        <v>0.0248306997742664</v>
      </c>
    </row>
    <row r="87" customFormat="false" ht="14.25" hidden="false" customHeight="false" outlineLevel="0" collapsed="false">
      <c r="A87" s="15" t="n">
        <f aca="false">EDATE(A86,1)</f>
        <v>46054</v>
      </c>
      <c r="B87" s="14" t="n">
        <f aca="false">VLOOKUP(A87,'Price Data'!$A$2:$F$150,6,FALSE())</f>
        <v>389.74</v>
      </c>
      <c r="C87" s="14" t="n">
        <f aca="false">VLOOKUP(A87,'Price Data'!$X$2:$AC$150,6,FALSE())</f>
        <v>1.1803</v>
      </c>
      <c r="D87" s="16" t="n">
        <f aca="false">B87*C87</f>
        <v>460.010122</v>
      </c>
      <c r="E87" s="14" t="n">
        <f aca="false">SUMIFS('Price Data'!$Q$2:$Q$150,'Price Data'!$L$2:$L$150,A87)</f>
        <v>176.78</v>
      </c>
      <c r="F87" s="17" t="n">
        <f aca="false">(D87-D86)/D86</f>
        <v>0.0223704216787365</v>
      </c>
      <c r="G87" s="17" t="n">
        <f aca="false">(E87-E86)/E86</f>
        <v>-0.0728970002097756</v>
      </c>
    </row>
    <row r="88" customFormat="false" ht="14.25" hidden="false" customHeight="false" outlineLevel="0" collapsed="false">
      <c r="A88" s="15" t="n">
        <f aca="false">EDATE(A87,1)</f>
        <v>46082</v>
      </c>
      <c r="B88" s="14" t="n">
        <f aca="false">VLOOKUP(A88,'Price Data'!$A$2:$F$150,6,FALSE())</f>
        <v>342.62</v>
      </c>
      <c r="C88" s="14" t="n">
        <f aca="false">VLOOKUP(A88,'Price Data'!$X$2:$AC$150,6,FALSE())</f>
        <v>1.146</v>
      </c>
      <c r="D88" s="16" t="n">
        <f aca="false">B88*C88</f>
        <v>392.64252</v>
      </c>
      <c r="E88" s="14" t="n">
        <f aca="false">SUMIFS('Price Data'!$Q$2:$Q$150,'Price Data'!$L$2:$L$150,A88)</f>
        <v>174</v>
      </c>
      <c r="F88" s="17" t="n">
        <f aca="false">(D88-D87)/D87</f>
        <v>-0.146448086201025</v>
      </c>
      <c r="G88" s="17" t="n">
        <f aca="false">(E88-E87)/E87</f>
        <v>-0.0157257608326734</v>
      </c>
    </row>
    <row r="89" customFormat="false" ht="14.25" hidden="false" customHeight="false" outlineLevel="0" collapsed="false">
      <c r="A89" s="15" t="n">
        <f aca="false">EDATE(A88,1)</f>
        <v>46113</v>
      </c>
      <c r="B89" s="14" t="n">
        <f aca="false">VLOOKUP(A89,'Price Data'!$A$2:$F$150,6,FALSE())</f>
        <v>366.05</v>
      </c>
      <c r="C89" s="14" t="n">
        <f aca="false">VLOOKUP(A89,'Price Data'!$X$2:$AC$150,6,FALSE())</f>
        <v>1.1685</v>
      </c>
      <c r="D89" s="16" t="n">
        <f aca="false">B89*C89</f>
        <v>427.729425</v>
      </c>
      <c r="E89" s="14" t="n">
        <f aca="false">SUMIFS('Price Data'!$Q$2:$Q$150,'Price Data'!$L$2:$L$150,A89)</f>
        <v>199.11</v>
      </c>
      <c r="F89" s="17" t="n">
        <f aca="false">(D89-D88)/D88</f>
        <v>0.0893609408374826</v>
      </c>
      <c r="G89" s="17" t="n">
        <f aca="false">(E89-E88)/E88</f>
        <v>0.144310344827586</v>
      </c>
    </row>
    <row r="90" customFormat="false" ht="14.25" hidden="false" customHeight="false" outlineLevel="0" collapsed="false">
      <c r="A90" s="15" t="n">
        <f aca="false">EDATE(A89,1)</f>
        <v>46143</v>
      </c>
      <c r="B90" s="14" t="n">
        <f aca="false">VLOOKUP(A90,'Price Data'!$A$2:$F$150,6,FALSE())</f>
        <v>382.55</v>
      </c>
      <c r="C90" s="14" t="n">
        <f aca="false">VLOOKUP(A90,'Price Data'!$X$2:$AC$150,6,FALSE())</f>
        <v>1.166</v>
      </c>
      <c r="D90" s="16" t="n">
        <f aca="false">B90*C90</f>
        <v>446.0533</v>
      </c>
      <c r="E90" s="14" t="n">
        <f aca="false">SUMIFS('Price Data'!$Q$2:$Q$150,'Price Data'!$L$2:$L$150,A90)</f>
        <v>210.66</v>
      </c>
      <c r="F90" s="17" t="n">
        <f aca="false">(D90-D89)/D89</f>
        <v>0.0428398747642857</v>
      </c>
      <c r="G90" s="17" t="n">
        <f aca="false">(E90-E89)/E89</f>
        <v>0.0580081362061171</v>
      </c>
    </row>
    <row r="91" customFormat="false" ht="14.25" hidden="false" customHeight="false" outlineLevel="0" collapsed="false">
      <c r="A91" s="15" t="n">
        <f aca="false">EDATE(A90,1)</f>
        <v>46174</v>
      </c>
      <c r="B91" s="14" t="n">
        <f aca="false">VLOOKUP(A91,'Price Data'!$A$2:$F$150,6,FALSE())</f>
        <v>383.65</v>
      </c>
      <c r="C91" s="14" t="n">
        <f aca="false">VLOOKUP(A91,'Price Data'!$X$2:$AC$150,6,FALSE())</f>
        <v>1.1422</v>
      </c>
      <c r="D91" s="16" t="n">
        <f aca="false">B91*C91</f>
        <v>438.20503</v>
      </c>
      <c r="E91" s="14" t="n">
        <f aca="false">SUMIFS('Price Data'!$Q$2:$Q$150,'Price Data'!$L$2:$L$150,A91)</f>
        <v>199.87</v>
      </c>
      <c r="F91" s="17" t="n">
        <f aca="false">(D91-D90)/D90</f>
        <v>-0.0175949152264986</v>
      </c>
      <c r="G91" s="17" t="n">
        <f aca="false">(E91-E90)/E90</f>
        <v>-0.0512199753156745</v>
      </c>
    </row>
    <row r="92" customFormat="false" ht="14.25" hidden="false" customHeight="false" outlineLevel="0" collapsed="false">
      <c r="A92" s="15" t="n">
        <f aca="false">EDATE(A91,1)</f>
        <v>46204</v>
      </c>
      <c r="B92" s="14" t="n">
        <f aca="false">VLOOKUP(A92,'Price Data'!$A$2:$F$150,6,FALSE())</f>
        <v>386.95</v>
      </c>
      <c r="C92" s="14" t="n">
        <f aca="false">VLOOKUP(A92,'Price Data'!$X$2:$AC$150,6,FALSE())</f>
        <v>1.1524</v>
      </c>
      <c r="D92" s="16" t="n">
        <f aca="false">B92*C92</f>
        <v>445.92118</v>
      </c>
      <c r="E92" s="14" t="n">
        <f aca="false">SUMIFS('Price Data'!$Q$2:$Q$150,'Price Data'!$L$2:$L$150,A92)</f>
        <v>200.53</v>
      </c>
      <c r="F92" s="17" t="n">
        <f aca="false">(D92-D91)/D91</f>
        <v>0.0176085381767526</v>
      </c>
      <c r="G92" s="17" t="n">
        <f aca="false">(E92-E91)/E91</f>
        <v>0.00330214639515684</v>
      </c>
    </row>
    <row r="93" customFormat="false" ht="14.25" hidden="false" customHeight="false" outlineLevel="0" collapsed="false">
      <c r="A93" s="15" t="n">
        <f aca="false">EDATE(A92,1)</f>
        <v>46235</v>
      </c>
      <c r="B93" s="14" t="n">
        <f aca="false">VLOOKUP(A93,'Price Data'!$A$2:$F$150,6,FALSE())</f>
        <v>384.7</v>
      </c>
      <c r="C93" s="14" t="n">
        <f aca="false">VLOOKUP(A93,'Price Data'!$X$2:$AC$150,6,FALSE())</f>
        <v>1.1589</v>
      </c>
      <c r="D93" s="16" t="n">
        <f aca="false">B93*C93</f>
        <v>445.82883</v>
      </c>
      <c r="E93" s="14" t="n">
        <f aca="false">SUMIFS('Price Data'!$Q$2:$Q$150,'Price Data'!$L$2:$L$150,A93)</f>
        <v>220.53</v>
      </c>
      <c r="F93" s="17" t="n">
        <f aca="false">(D93-D92)/D92</f>
        <v>-0.000207099380209003</v>
      </c>
      <c r="G93" s="17" t="n">
        <f aca="false">(E93-E92)/E92</f>
        <v>0.099735700393956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2026-09-21T21:01:52Z</dcterms:created>
  <dc:creator>NHU LAM</dc:creator>
  <dc:description/>
  <dc:language>en-US</dc:language>
  <cp:lastModifiedBy>NHU LAM</cp:lastModifiedBy>
  <dcterms:modified xsi:type="dcterms:W3CDTF">2026-09-29T21:38:18Z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